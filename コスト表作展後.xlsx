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97D0341C-3128-42B8-AC4E-2838B110492D}" xr6:coauthVersionLast="47" xr6:coauthVersionMax="47" xr10:uidLastSave="{00000000-0000-0000-0000-000000000000}"/>
  <bookViews>
    <workbookView xWindow="4530" yWindow="1065" windowWidth="22950" windowHeight="128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<sst xmlns="http://schemas.openxmlformats.org/spreadsheetml/2006/main" count="156" uniqueCount="98">
  <si>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</si>
  <si>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</si>
  <si>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</si>
  <si>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</si>
  <si>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</si>
  <si>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</si>
  <si>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</si>
  <si>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</si>
  <si>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</si>
  <si>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</si>
  <si>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</si>
  <si>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</si>
  <si>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</si>
  <si>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</si>
  <si>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</si>
  <si>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</si>
  <si>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</si>
  <si>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</si>
  <si>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</si>
  <si>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</si>
  <si>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</si>
  <si>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</si>
  <si>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</si>
  <si>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</si>
  <si>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</si>
  <si>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</si>
  <si>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</si>
  <si>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</si>
  <si>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</si>
  <si>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</si>
  <si>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</si>
  <si>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</si>
  <si>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</si>
  <si>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</si>
  <si>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</si>
  <si>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</si>
  <si>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</si>
  <si>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</si>
  <si>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</si>
  <si>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</si>
  <si>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</si>
  <si>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</si>
  <si>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</si>
  <si>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</si>
  <si>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</si>
  <si>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</si>
  <si>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</si>
  <si>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</si>
  <si>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</si>
  <si>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</si>
  <si>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</si>
  <si>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</si>
  <si>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</si>
  <si>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</si>
  <si>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</si>
  <si>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</si>
  <si>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</si>
  <si>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</si>
  <si>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</si>
  <si>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</si>
  <si>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</si>
  <si>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</si>
  <si>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</si>
  <si>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</si>
  <si>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</si>
  <si>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</si>
  <si>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</si>
  <si>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</si>
  <si>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</si>
  <si>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</si>
  <si>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</si>
  <si>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</si>
  <si>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</si>
  <si>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</si>
  <si>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</si>
  <si>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</si>
  <si>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</si>
  <si>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</si>
  <si>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</si>
  <si>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</si>
  <si>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</si>
  <si>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</si>
  <si>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</si>
  <si>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</si>
  <si>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</si>
  <si>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</si>
  <si>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</si>
  <si>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</si>
  <si>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</si>
  <si>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</si>
  <si>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</si>
  <si>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</si>
  <si>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</si>
  <si>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</si>
  <si>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</si>
  <si>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</si>
  <si>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無名名前空間と名前付き名前空間の違い</t>
    <rPh sb="0" eb="6">
      <t>ムメイナマエクウカン</t>
    </rPh>
    <rPh sb="7" eb="10">
      <t>ナマエツ</t>
    </rPh>
    <rPh sb="11" eb="15">
      <t>ナマエクウカン</t>
    </rPh>
    <rPh sb="16" eb="17">
      <t>チガ</t>
    </rPh>
    <phoneticPr fontId="1"/>
  </si>
  <si>
    <t>オプション追加（自動武器切り替えオンオフ機能）</t>
    <rPh sb="5" eb="7">
      <t>ツイカ</t>
    </rPh>
    <rPh sb="8" eb="10">
      <t>ジドウ</t>
    </rPh>
    <rPh sb="10" eb="13">
      <t>ブキキ</t>
    </rPh>
    <rPh sb="14" eb="15">
      <t>カ</t>
    </rPh>
    <rPh sb="20" eb="22">
      <t>キノウ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</si>
</sst>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3" activePane="bottomLeft" state="frozen"/>
      <selection pane="bottomLeft" activeCell="G13" sqref="G13"/>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11</v>
      </c>
      <c r="H4" s="36"/>
    </row>
    <row r="5" spans="2:8" ht="18.75">
      <c r="B5" s="34" t="s">
        <v>7</v>
      </c>
      <c r="C5" s="36" t="s">
        <v>47</v>
      </c>
      <c r="D5" s="39">
        <v>2</v>
      </c>
      <c r="E5" s="39" t="s">
        <v>13</v>
      </c>
      <c r="G5" s="39" t="s">
        <v>9</v>
      </c>
      <c r="H5" s="36" t="s">
        <v>49</v>
      </c>
    </row>
    <row r="6" spans="2:8" ht="18.75">
      <c r="B6" s="34" t="s">
        <v>82</v>
      </c>
      <c r="C6" s="36" t="s">
        <v>83</v>
      </c>
      <c r="D6" s="39">
        <v>0.5</v>
      </c>
      <c r="E6" s="39" t="s">
        <v>8</v>
      </c>
      <c r="G6" s="39" t="s">
        <v>12</v>
      </c>
      <c r="H6" s="36"/>
    </row>
    <row r="7" spans="2:8" ht="18.75">
      <c r="B7" s="34" t="s">
        <v>82</v>
      </c>
      <c r="C7" s="36" t="s">
        <v>84</v>
      </c>
      <c r="D7" s="39">
        <v>1</v>
      </c>
      <c r="E7" s="39" t="s">
        <v>8</v>
      </c>
      <c r="G7" s="39" t="s">
        <v>12</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11</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11</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87</v>
      </c>
      <c r="C29"/>
      <c r="D29" s="4"/>
      <c r="E29" s="4"/>
      <c r="F29" s="4"/>
      <c r="G29" s="4"/>
      <c r="H29" s="4"/>
    </row>
    <row r="30" spans="2:8" ht="18.75">
      <c r="B30" t="s">
        <v>88</v>
      </c>
      <c r="C30"/>
      <c r="D30" s="4"/>
      <c r="E30" s="4"/>
      <c r="F30" s="4"/>
      <c r="G30" s="4"/>
      <c r="H30" s="4"/>
    </row>
    <row r="31" spans="2:8" ht="18.75">
      <c r="B31" t="s">
        <v>89</v>
      </c>
      <c r="C31"/>
      <c r="D31" s="4"/>
      <c r="E31" s="4"/>
      <c r="F31" s="4"/>
      <c r="G31" s="4"/>
      <c r="H31" s="4"/>
    </row>
    <row r="32" spans="2:8" ht="18.75">
      <c r="B32" t="s">
        <v>91</v>
      </c>
      <c r="C32"/>
      <c r="D32" s="4"/>
      <c r="E32" s="4"/>
      <c r="F32" s="4"/>
      <c r="G32" s="4"/>
      <c r="H32" s="4"/>
    </row>
    <row r="33" spans="2:8" ht="18.75">
      <c r="B33" t="s">
        <v>90</v>
      </c>
      <c r="C33"/>
      <c r="D33" s="4"/>
      <c r="E33" s="4"/>
      <c r="F33" s="4"/>
      <c r="G33" s="4"/>
      <c r="H33" s="4"/>
    </row>
    <row r="34" spans="2:8" ht="18.75">
      <c r="B34" t="s">
        <v>86</v>
      </c>
      <c r="C34"/>
      <c r="D34" s="4"/>
      <c r="E34" s="4"/>
      <c r="F34" s="4"/>
      <c r="G34" s="4"/>
      <c r="H34" s="4"/>
    </row>
    <row r="35" spans="2:8" ht="18.75">
      <c r="B35" t="s">
        <v>92</v>
      </c>
      <c r="C35"/>
      <c r="D35" s="4"/>
      <c r="E35" s="4"/>
      <c r="F35" s="4"/>
      <c r="G35" s="4"/>
      <c r="H35" s="6"/>
    </row>
    <row r="36" spans="2:8" ht="18.75">
      <c r="B36" t="s">
        <v>93</v>
      </c>
      <c r="C36"/>
      <c r="D36" s="4"/>
      <c r="E36" s="4"/>
      <c r="F36" s="4"/>
      <c r="G36" s="4"/>
      <c r="H36" s="6"/>
    </row>
    <row r="37" spans="2:8" ht="18.75">
      <c r="B37" t="s">
        <v>94</v>
      </c>
      <c r="C37"/>
      <c r="D37" s="4"/>
      <c r="E37" s="4"/>
      <c r="F37" s="4"/>
      <c r="G37" s="4"/>
      <c r="H37" s="6"/>
    </row>
    <row r="38" spans="2:8" ht="18.75">
      <c r="B38" t="s">
        <v>95</v>
      </c>
      <c r="C38"/>
      <c r="D38" s="4"/>
      <c r="E38" s="4"/>
      <c r="F38" s="4"/>
      <c r="G38" s="4"/>
      <c r="H38" s="6"/>
    </row>
    <row r="39" spans="2:8" ht="18.75">
      <c r="B39" t="s">
        <v>85</v>
      </c>
      <c r="C39"/>
      <c r="D39" s="4"/>
      <c r="E39" s="4"/>
      <c r="F39" s="4"/>
      <c r="G39" s="4"/>
      <c r="H39" s="6"/>
    </row>
    <row r="40" spans="2:8" ht="18.75">
      <c r="B40" t="s">
        <v>96</v>
      </c>
      <c r="C40"/>
      <c r="D40" s="4"/>
      <c r="E40" s="4"/>
      <c r="F40" s="4"/>
      <c r="G40" s="4"/>
      <c r="H40" s="6"/>
    </row>
    <row r="41" spans="2:8" ht="18.75">
      <c r="B41" t="s">
        <v>97</v>
      </c>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2.5</v>
      </c>
      <c r="E3" s="28">
        <f>SUMIFS(コスト表!D:D, コスト表!B:B, "プレイヤー", コスト表!G:G, "作業中")</f>
        <v>2</v>
      </c>
      <c r="F3" s="28">
        <f>SUMIFS(コスト表!D:D, コスト表!B:B, "プレイヤー", コスト表!G:G, "未着手")</f>
        <v>5</v>
      </c>
      <c r="G3" s="24">
        <f>ROUNDDOWN(COUNTIFS(コスト表!B:B, "プレイヤー", コスト表!G:G, "完了") / COUNTIF(コスト表!B:B, "プレイヤー") * 100,1)</f>
        <v>50</v>
      </c>
      <c r="I3" s="15" t="s">
        <v>17</v>
      </c>
      <c r="J3" s="13">
        <f>SUMIF(コスト表!G:G,"完了",コスト表!D:D)</f>
        <v>3.5</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1</v>
      </c>
      <c r="F4" s="28">
        <f>SUMIFS(コスト表!D:D, コスト表!B:B, "敵", コスト表!G:G, "未着手")</f>
        <v>7</v>
      </c>
      <c r="G4" s="24">
        <f>ROUNDDOWN(COUNTIFS(コスト表!B:B, "敵", コスト表!G:G, "完了") / COUNTIF(コスト表!B:B, "敵") * 100,1)</f>
        <v>0</v>
      </c>
      <c r="I4" s="16" t="s">
        <v>19</v>
      </c>
      <c r="J4" s="13">
        <f ca="1">NETWORKDAYS(J5,J6)</f>
        <v>5</v>
      </c>
      <c r="K4" s="13">
        <f ca="1" xml:space="preserve"> ROUNDDOWN(J3 / J4,1)</f>
        <v>0.7</v>
      </c>
      <c r="M4" s="12"/>
    </row>
    <row r="5" spans="2:13" ht="19.5">
      <c r="B5" s="7" t="s">
        <v>67</v>
      </c>
      <c r="C5" s="8">
        <f>SUMIF(コスト表!B:B, B5, コスト表!D:D)</f>
        <v>2</v>
      </c>
      <c r="D5" s="28">
        <f>SUMIFS(コスト表!D:D, コスト表!B:B, "Boss", コスト表!G:G, "完了")</f>
        <v>0</v>
      </c>
      <c r="E5" s="28">
        <f>SUMIFS(コスト表!D:D, コスト表!B:B, "Boss", コスト表!G:G, "作業中")</f>
        <v>1</v>
      </c>
      <c r="F5" s="28">
        <f>SUMIFS(コスト表!D:D, コスト表!B:B, "Boss", コスト表!G:G, "未着手")</f>
        <v>1</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46062</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17.3</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2026-02-09T01:20:44Z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