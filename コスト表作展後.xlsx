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D1B40FB5-EAF0-4051-81E9-B8CE8D8A0EF1}" xr6:coauthVersionLast="47" xr6:coauthVersionMax="47" xr10:uidLastSave="{00000000-0000-0000-0000-000000000000}"/>
  <bookViews>
    <workbookView xWindow="2130" yWindow="1335" windowWidth="24600" windowHeight="13245"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コスト表!$E$2:$G$103</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<sst xmlns="http://schemas.openxmlformats.org/spreadsheetml/2006/main" count="155" uniqueCount="97">
  <si>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</si>
  <si>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</si>
  <si>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</si>
  <si>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</si>
  <si>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</si>
  <si>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</si>
  <si>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</si>
  <si>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</si>
  <si>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</si>
  <si>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</si>
  <si>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</si>
  <si>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</si>
  <si>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</si>
  <si>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</si>
  <si>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</si>
  <si>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</si>
  <si>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</si>
  <si>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</si>
  <si>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</si>
  <si>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</si>
  <si>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</si>
  <si>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</si>
  <si>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</si>
  <si>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</si>
  <si>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</si>
  <si>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</si>
  <si>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</si>
  <si>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</si>
  <si>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</si>
  <si>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</si>
  <si>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</si>
  <si>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</si>
  <si>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</si>
  <si>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</si>
  <si>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</si>
  <si>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</si>
  <si>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</si>
  <si>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</si>
  <si>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</si>
  <si>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</si>
  <si>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</si>
  <si>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</si>
  <si>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</si>
  <si>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</si>
  <si>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</si>
  <si>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</si>
  <si>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</si>
  <si>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</si>
  <si>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</si>
  <si>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</si>
  <si>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</si>
  <si>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</si>
  <si>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</si>
  <si>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</si>
  <si>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</si>
  <si>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</si>
  <si>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</si>
  <si>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</si>
  <si>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</si>
  <si>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</si>
  <si>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</si>
  <si>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</si>
  <si>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</si>
  <si>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</si>
  <si>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</si>
  <si>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</si>
  <si>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</si>
  <si>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</si>
  <si>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</si>
  <si>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</si>
  <si>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</si>
  <si>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</si>
  <si>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</si>
  <si>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</si>
  <si>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</si>
  <si>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</si>
  <si>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</si>
  <si>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</si>
  <si>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</si>
  <si>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</si>
  <si>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</si>
  <si>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</si>
  <si>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</si>
  <si>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</si>
  <si>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</si>
  <si>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</si>
  <si>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ショットガンで倒した際吹き飛んで死なないことがある不具合</t>
    <rPh sb="7" eb="8">
      <t>タオ</t>
    </rPh>
    <rPh sb="10" eb="11">
      <t>サイ</t>
    </rPh>
    <rPh sb="11" eb="12">
      <t>フ</t>
    </rPh>
    <rPh sb="13" eb="14">
      <t>ト</t>
    </rPh>
    <rPh sb="16" eb="17">
      <t>シ</t>
    </rPh>
    <rPh sb="25" eb="28">
      <t>フグアイ</t>
    </rPh>
    <phoneticPr fontId="1"/>
  </si>
  <si>
    <t>デバックメニューのウィンドウモードをオンするとマウスカーソルが消えてしまう不具合</t>
    <rPh sb="31" eb="32">
      <t>キ</t>
    </rPh>
    <rPh sb="37" eb="40">
      <t>フグアイ</t>
    </rPh>
    <phoneticPr fontId="1"/>
  </si>
  <si>
    <t>ダッシュジャンプタックルを行うと敵をすり抜ける不具合</t>
    <rPh sb="13" eb="14">
      <t>オコナ</t>
    </rPh>
    <rPh sb="16" eb="17">
      <t>テキ</t>
    </rPh>
    <rPh sb="20" eb="21">
      <t>ヌ</t>
    </rPh>
    <rPh sb="23" eb="26">
      <t>フグアイ</t>
    </rPh>
    <phoneticPr fontId="1"/>
  </si>
  <si>
    <t>タックル攻撃を行い敵に当たったら止まるだけではなく少し後ろにノックバックする</t>
    <rPh sb="4" eb="6">
      <t>コウゲキ</t>
    </rPh>
    <rPh sb="7" eb="8">
      <t>オコナ</t>
    </rPh>
    <rPh sb="9" eb="10">
      <t>テキ</t>
    </rPh>
    <rPh sb="11" eb="12">
      <t>ア</t>
    </rPh>
    <rPh sb="16" eb="17">
      <t>ト</t>
    </rPh>
    <rPh sb="25" eb="26">
      <t>スコ</t>
    </rPh>
    <rPh sb="27" eb="28">
      <t>ウシ</t>
    </rPh>
    <phoneticPr fontId="1"/>
  </si>
  <si>
    <t>EnemyNormalのショットガン攻撃を受けた際、Hitアニメーションを使用する</t>
    <rPh sb="18" eb="20">
      <t>コウゲキ</t>
    </rPh>
    <rPh sb="21" eb="22">
      <t>ウ</t>
    </rPh>
    <rPh sb="24" eb="25">
      <t>サイ</t>
    </rPh>
    <rPh sb="37" eb="39">
      <t>シヨウ</t>
    </rPh>
    <phoneticPr fontId="1"/>
  </si>
  <si>
    <t>タイトル画面でデバックメニューを開いてマウス左クリックを押すとシーン遷移し進んでしまう不具合</t>
    <rPh sb="4" eb="6">
      <t>ガメン</t>
    </rPh>
    <rPh sb="16" eb="17">
      <t>ヒラ</t>
    </rPh>
    <rPh sb="22" eb="23">
      <t>ヒダリ</t>
    </rPh>
    <rPh sb="28" eb="29">
      <t>オ</t>
    </rPh>
    <rPh sb="34" eb="36">
      <t>センイ</t>
    </rPh>
    <rPh sb="37" eb="38">
      <t>スス</t>
    </rPh>
    <rPh sb="43" eb="46">
      <t>フグアイ</t>
    </rPh>
    <phoneticPr fontId="1"/>
  </si>
  <si>
    <t>アイテム光らす</t>
    <rPh sb="4" eb="5">
      <t>ヒカ</t>
    </rPh>
    <phoneticPr fontId="1"/>
  </si>
  <si>
    <t>性能は同じで見た目のみ違うモデルの実装</t>
    <rPh sb="0" eb="2">
      <t>セイノウ</t>
    </rPh>
    <rPh sb="3" eb="4">
      <t>オナ</t>
    </rPh>
    <rPh sb="6" eb="7">
      <t>ミ</t>
    </rPh>
    <rPh sb="8" eb="9">
      <t>メ</t>
    </rPh>
    <rPh sb="11" eb="12">
      <t>チガ</t>
    </rPh>
    <rPh sb="17" eb="19">
      <t>ジッソウ</t>
    </rPh>
    <phoneticPr fontId="1"/>
  </si>
  <si>
    <t>テクスチャを変えたモデルの実装</t>
    <rPh sb="6" eb="7">
      <t>カ</t>
    </rPh>
    <rPh sb="13" eb="15">
      <t>ジッソウ</t>
    </rPh>
    <phoneticPr fontId="1"/>
  </si>
  <si>
    <t>敵AIとしてトークンシステムの実装</t>
    <rPh sb="0" eb="1">
      <t>テキ</t>
    </rPh>
    <rPh sb="15" eb="17">
      <t>ジッソウ</t>
    </rPh>
    <phoneticPr fontId="1"/>
  </si>
  <si>
    <t>無名名前空間と名前付き名前空間の違い</t>
    <rPh sb="0" eb="6">
      <t>ムメイナマエクウカン</t>
    </rPh>
    <rPh sb="7" eb="10">
      <t>ナマエツ</t>
    </rPh>
    <rPh sb="11" eb="15">
      <t>ナマエクウカン</t>
    </rPh>
    <rPh sb="16" eb="17">
      <t>チガ</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</si>
</sst>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3"/>
  <sheetViews>
    <sheetView tabSelected="1" zoomScaleNormal="100" workbookViewId="0">
      <pane ySplit="2" topLeftCell="A3" activePane="bottomLeft" state="frozen"/>
      <selection pane="bottomLeft" activeCell="C6" sqref="C6"/>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12</v>
      </c>
      <c r="H3" s="36" t="s">
        <v>73</v>
      </c>
    </row>
    <row r="4" spans="2:8" ht="18.75">
      <c r="B4" s="34" t="s">
        <v>38</v>
      </c>
      <c r="C4" s="36" t="s">
        <v>40</v>
      </c>
      <c r="D4" s="39">
        <v>2</v>
      </c>
      <c r="E4" s="39" t="s">
        <v>13</v>
      </c>
      <c r="G4" s="39" t="s">
        <v>9</v>
      </c>
      <c r="H4" s="36"/>
    </row>
    <row r="5" spans="2:8" ht="18.75">
      <c r="B5" s="34" t="s">
        <v>7</v>
      </c>
      <c r="C5" s="36" t="s">
        <v>47</v>
      </c>
      <c r="D5" s="39">
        <v>2</v>
      </c>
      <c r="E5" s="39" t="s">
        <v>13</v>
      </c>
      <c r="G5" s="39" t="s">
        <v>9</v>
      </c>
      <c r="H5" s="36" t="s">
        <v>49</v>
      </c>
    </row>
    <row r="6" spans="2:8" ht="18.75">
      <c r="B6" s="34" t="s">
        <v>82</v>
      </c>
      <c r="C6" s="36" t="s">
        <v>83</v>
      </c>
      <c r="D6" s="39">
        <v>0.5</v>
      </c>
      <c r="E6" s="39" t="s">
        <v>8</v>
      </c>
      <c r="G6" s="39" t="s">
        <v>9</v>
      </c>
      <c r="H6" s="36"/>
    </row>
    <row r="7" spans="2:8" ht="18.75">
      <c r="B7" s="34" t="s">
        <v>82</v>
      </c>
      <c r="C7" s="36" t="s">
        <v>84</v>
      </c>
      <c r="D7" s="39">
        <v>1</v>
      </c>
      <c r="E7" s="39" t="s">
        <v>8</v>
      </c>
      <c r="G7" s="39" t="s">
        <v>9</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9</v>
      </c>
      <c r="H9" s="42"/>
    </row>
    <row r="10" spans="2:8" ht="18.75">
      <c r="B10" s="34" t="s">
        <v>41</v>
      </c>
      <c r="C10" s="36" t="s">
        <v>46</v>
      </c>
      <c r="D10" s="39">
        <v>0.5</v>
      </c>
      <c r="E10" s="39" t="s">
        <v>8</v>
      </c>
      <c r="G10" s="39" t="s">
        <v>9</v>
      </c>
      <c r="H10" s="36"/>
    </row>
    <row r="11" spans="2:8" ht="18.75">
      <c r="B11" s="34" t="s">
        <v>41</v>
      </c>
      <c r="C11" s="43" t="s">
        <v>48</v>
      </c>
      <c r="D11" s="39">
        <v>0.5</v>
      </c>
      <c r="E11" s="39" t="s">
        <v>13</v>
      </c>
      <c r="G11" s="39" t="s">
        <v>9</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9</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9</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9</v>
      </c>
      <c r="H17" s="42"/>
    </row>
    <row r="18" spans="2:8" ht="18.75">
      <c r="B18" s="34" t="s">
        <v>42</v>
      </c>
      <c r="C18" s="36" t="s">
        <v>46</v>
      </c>
      <c r="D18" s="39">
        <v>0.5</v>
      </c>
      <c r="E18" s="39" t="s">
        <v>13</v>
      </c>
      <c r="G18" s="39" t="s">
        <v>9</v>
      </c>
      <c r="H18" s="36"/>
    </row>
    <row r="19" spans="2:8" ht="18.75">
      <c r="B19" s="34" t="s">
        <v>42</v>
      </c>
      <c r="C19" s="43" t="s">
        <v>48</v>
      </c>
      <c r="D19" s="39">
        <v>0.5</v>
      </c>
      <c r="E19" s="39" t="s">
        <v>13</v>
      </c>
      <c r="G19" s="39" t="s">
        <v>9</v>
      </c>
      <c r="H19" s="36" t="s">
        <v>62</v>
      </c>
    </row>
    <row r="20" spans="2:8" ht="19.5" thickBot="1">
      <c r="B20" s="35"/>
      <c r="C20" s="44"/>
      <c r="D20" s="40"/>
      <c r="E20" s="40"/>
      <c r="F20" s="40"/>
      <c r="G20" s="40" t="s">
        <v>9</v>
      </c>
      <c r="H20" s="37"/>
    </row>
    <row r="21" spans="2:8" ht="19.5" thickBot="1">
      <c r="B21" s="48" t="s">
        <v>50</v>
      </c>
      <c r="C21" s="49" t="s">
        <v>51</v>
      </c>
      <c r="D21" s="50">
        <v>1</v>
      </c>
      <c r="E21" s="50" t="s">
        <v>8</v>
      </c>
      <c r="F21" s="50"/>
      <c r="G21" s="50" t="s">
        <v>9</v>
      </c>
      <c r="H21" s="51"/>
    </row>
    <row r="22" spans="2:8" ht="19.5" thickBot="1">
      <c r="B22" s="48" t="s">
        <v>74</v>
      </c>
      <c r="C22" s="49" t="s">
        <v>75</v>
      </c>
      <c r="D22" s="50">
        <v>2</v>
      </c>
      <c r="E22" s="50" t="s">
        <v>13</v>
      </c>
      <c r="F22" s="50"/>
      <c r="G22" s="50" t="s">
        <v>9</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78</v>
      </c>
      <c r="C25"/>
      <c r="D25" s="4"/>
      <c r="E25" s="4"/>
      <c r="F25" s="4"/>
      <c r="G25" s="4"/>
      <c r="H25" s="6"/>
    </row>
    <row r="26" spans="2:8" ht="18.75">
      <c r="B26" t="s">
        <v>81</v>
      </c>
      <c r="C26"/>
      <c r="D26" s="4"/>
      <c r="E26" s="4"/>
      <c r="F26" s="4"/>
      <c r="G26" s="4"/>
      <c r="H26" s="6"/>
    </row>
    <row r="27" spans="2:8" ht="18.75">
      <c r="B27" t="s">
        <v>80</v>
      </c>
      <c r="C27"/>
      <c r="D27" s="4"/>
      <c r="E27" s="4"/>
      <c r="F27" s="4"/>
      <c r="G27" s="4"/>
      <c r="H27" s="4"/>
    </row>
    <row r="28" spans="2:8" ht="18.75">
      <c r="B28" t="s">
        <v>79</v>
      </c>
      <c r="C28"/>
      <c r="D28" s="4"/>
      <c r="E28" s="4"/>
      <c r="F28" s="4"/>
      <c r="G28" s="4"/>
      <c r="H28" s="4"/>
    </row>
    <row r="29" spans="2:8" ht="18.75">
      <c r="B29" t="s">
        <v>87</v>
      </c>
      <c r="C29"/>
      <c r="D29" s="4"/>
      <c r="E29" s="4"/>
      <c r="F29" s="4"/>
      <c r="G29" s="4"/>
      <c r="H29" s="4"/>
    </row>
    <row r="30" spans="2:8" ht="18.75">
      <c r="B30" t="s">
        <v>88</v>
      </c>
      <c r="C30"/>
      <c r="D30" s="4"/>
      <c r="E30" s="4"/>
      <c r="F30" s="4"/>
      <c r="G30" s="4"/>
      <c r="H30" s="4"/>
    </row>
    <row r="31" spans="2:8" ht="18.75">
      <c r="B31" t="s">
        <v>89</v>
      </c>
      <c r="C31"/>
      <c r="D31" s="4"/>
      <c r="E31" s="4"/>
      <c r="F31" s="4"/>
      <c r="G31" s="4"/>
      <c r="H31" s="4"/>
    </row>
    <row r="32" spans="2:8" ht="18.75">
      <c r="B32" t="s">
        <v>91</v>
      </c>
      <c r="C32"/>
      <c r="D32" s="4"/>
      <c r="E32" s="4"/>
      <c r="F32" s="4"/>
      <c r="G32" s="4"/>
      <c r="H32" s="4"/>
    </row>
    <row r="33" spans="2:8" ht="18.75">
      <c r="B33" t="s">
        <v>90</v>
      </c>
      <c r="C33"/>
      <c r="D33" s="4"/>
      <c r="E33" s="4"/>
      <c r="F33" s="4"/>
      <c r="G33" s="4"/>
      <c r="H33" s="4"/>
    </row>
    <row r="34" spans="2:8" ht="18.75">
      <c r="B34" t="s">
        <v>86</v>
      </c>
      <c r="C34"/>
      <c r="D34" s="4"/>
      <c r="E34" s="4"/>
      <c r="F34" s="4"/>
      <c r="G34" s="4"/>
      <c r="H34" s="4"/>
    </row>
    <row r="35" spans="2:8" ht="18.75">
      <c r="B35" t="s">
        <v>92</v>
      </c>
      <c r="C35"/>
      <c r="D35" s="4"/>
      <c r="E35" s="4"/>
      <c r="F35" s="4"/>
      <c r="G35" s="4"/>
      <c r="H35" s="6"/>
    </row>
    <row r="36" spans="2:8" ht="18.75">
      <c r="B36" t="s">
        <v>93</v>
      </c>
      <c r="C36"/>
      <c r="D36" s="4"/>
      <c r="E36" s="4"/>
      <c r="F36" s="4"/>
      <c r="G36" s="4"/>
      <c r="H36" s="6"/>
    </row>
    <row r="37" spans="2:8" ht="18.75">
      <c r="B37" t="s">
        <v>94</v>
      </c>
      <c r="C37"/>
      <c r="D37" s="4"/>
      <c r="E37" s="4"/>
      <c r="F37" s="4"/>
      <c r="G37" s="4"/>
      <c r="H37" s="6"/>
    </row>
    <row r="38" spans="2:8" ht="18.75">
      <c r="B38" t="s">
        <v>95</v>
      </c>
      <c r="C38"/>
      <c r="D38" s="4"/>
      <c r="E38" s="4"/>
      <c r="F38" s="4"/>
      <c r="G38" s="4"/>
      <c r="H38" s="6"/>
    </row>
    <row r="39" spans="2:8" ht="18.75">
      <c r="B39" t="s">
        <v>85</v>
      </c>
      <c r="C39"/>
      <c r="D39" s="4"/>
      <c r="E39" s="4"/>
      <c r="F39" s="4"/>
      <c r="G39" s="4"/>
      <c r="H39" s="6"/>
    </row>
    <row r="40" spans="2:8" ht="18.75">
      <c r="B40" t="s">
        <v>96</v>
      </c>
      <c r="C40"/>
      <c r="D40" s="4"/>
      <c r="E40" s="4"/>
      <c r="F40" s="4"/>
      <c r="G40" s="4"/>
      <c r="H40" s="6"/>
    </row>
    <row r="41" spans="2:8" ht="18.75">
      <c r="C41"/>
      <c r="D41" s="4"/>
      <c r="E41" s="4"/>
      <c r="F41" s="4"/>
      <c r="G41" s="4"/>
      <c r="H41" s="6"/>
    </row>
    <row r="42" spans="2:8" ht="18.75">
      <c r="C42"/>
      <c r="D42" s="4"/>
      <c r="E42" s="4"/>
      <c r="F42" s="4"/>
      <c r="G42" s="4"/>
      <c r="H42" s="6"/>
    </row>
    <row r="43" spans="2:8" ht="18.75">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s="6"/>
      <c r="D66" s="4"/>
      <c r="E66" s="4"/>
      <c r="F66" s="4"/>
      <c r="G66" s="4"/>
      <c r="H66" s="6"/>
    </row>
    <row r="67" spans="3:8" ht="18.75">
      <c r="C67"/>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s="4"/>
      <c r="D93" s="47"/>
      <c r="E93" s="4"/>
      <c r="F93" s="4"/>
      <c r="G93" s="4"/>
      <c r="H93" s="4"/>
    </row>
    <row r="94" spans="3:8" ht="18.75">
      <c r="C94" s="4"/>
      <c r="D94" s="47"/>
      <c r="E94" s="4"/>
      <c r="F94" s="4"/>
      <c r="G94" s="4"/>
      <c r="H94" s="4"/>
    </row>
    <row r="95" spans="3:8" ht="18.75">
      <c r="C95" s="4"/>
      <c r="D95" s="47"/>
      <c r="E95" s="4"/>
      <c r="F95" s="4"/>
      <c r="G95" s="4"/>
      <c r="H95" s="4"/>
    </row>
    <row r="96" spans="3:8" ht="18.75">
      <c r="C96" s="4"/>
      <c r="D96" s="47"/>
      <c r="E96" s="4"/>
      <c r="F96" s="4"/>
      <c r="G96" s="4"/>
      <c r="H96" s="4"/>
    </row>
    <row r="97" spans="3:8" ht="18.75">
      <c r="C97"/>
      <c r="D97" s="4"/>
      <c r="E97" s="4"/>
      <c r="F97" s="4"/>
      <c r="G97" s="4"/>
      <c r="H97" s="6"/>
    </row>
    <row r="98" spans="3:8" ht="18.75">
      <c r="C98"/>
      <c r="D98" s="4"/>
      <c r="E98" s="4"/>
      <c r="F98" s="4"/>
      <c r="G98" s="4"/>
      <c r="H98" s="6"/>
    </row>
    <row r="99" spans="3:8" ht="18.75">
      <c r="C99" s="4"/>
      <c r="D99" s="47"/>
      <c r="E99" s="4"/>
      <c r="F99" s="4"/>
      <c r="G99" s="4"/>
      <c r="H99" s="6"/>
    </row>
    <row r="100" spans="3:8" ht="18.75">
      <c r="C100"/>
      <c r="D100" s="4"/>
      <c r="E100" s="4"/>
      <c r="F100" s="4"/>
      <c r="G100" s="4"/>
      <c r="H100" s="6"/>
    </row>
    <row r="101" spans="3:8" ht="18.75">
      <c r="C101"/>
      <c r="D101" s="4"/>
      <c r="E101" s="4"/>
      <c r="F101" s="4"/>
      <c r="G101" s="4"/>
      <c r="H101" s="6"/>
    </row>
    <row r="102" spans="3:8" ht="18.75">
      <c r="C102" s="43"/>
      <c r="D102" s="39"/>
      <c r="H102" s="36"/>
    </row>
    <row r="103" spans="3:8" ht="18.75">
      <c r="C103" s="43"/>
      <c r="D103" s="39"/>
      <c r="H103" s="36"/>
    </row>
  </sheetData>
  <autoFilter ref="E2:G103"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G97:G98 G100:G1048576 G1:G92</xm:sqref>
        </x14:dataValidation>
        <x14:dataValidation type="list" allowBlank="1" showInputMessage="1" showErrorMessage="1" xr:uid="{66D8840C-D443-486F-BC72-01200775D285}">
          <x14:formula1>
            <xm:f>プルダウン用!$D$3:$D$6</xm:f>
          </x14:formula1>
          <xm:sqref>F100:F1048576 F1:F98</xm:sqref>
        </x14:dataValidation>
        <x14:dataValidation type="list" allowBlank="1" showInputMessage="1" showErrorMessage="1" xr:uid="{D61B1C0A-2748-4606-B0EE-00EEC89A23C6}">
          <x14:formula1>
            <xm:f>プルダウン用!$F$3:$F$6</xm:f>
          </x14:formula1>
          <xm:sqref>E97:E98 E100:E1048576 E1:E92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1</v>
      </c>
      <c r="E3" s="28">
        <f>SUMIFS(コスト表!D:D, コスト表!B:B, "プレイヤー", コスト表!G:G, "作業中")</f>
        <v>0</v>
      </c>
      <c r="F3" s="28">
        <f>SUMIFS(コスト表!D:D, コスト表!B:B, "プレイヤー", コスト表!G:G, "未着手")</f>
        <v>8.5</v>
      </c>
      <c r="G3" s="24">
        <f>ROUNDDOWN(COUNTIFS(コスト表!B:B, "プレイヤー", コスト表!G:G, "完了") / COUNTIF(コスト表!B:B, "プレイヤー") * 100,1)</f>
        <v>16.600000000000001</v>
      </c>
      <c r="I3" s="15" t="s">
        <v>17</v>
      </c>
      <c r="J3" s="13">
        <f>SUMIF(コスト表!G:G,"完了",コスト表!D:D)</f>
        <v>1</v>
      </c>
      <c r="K3" s="12" t="s">
        <v>18</v>
      </c>
      <c r="M3" s="12"/>
    </row>
    <row r="4" spans="2:13" ht="19.5">
      <c r="B4" s="1" t="s">
        <v>66</v>
      </c>
      <c r="C4" s="8">
        <f>SUMIF(コスト表!B:B, B4, コスト表!D:D)</f>
        <v>8</v>
      </c>
      <c r="D4" s="28">
        <f>SUMIFS(コスト表!D:D, コスト表!B:B, "敵", コスト表!G:G, "完了")</f>
        <v>0</v>
      </c>
      <c r="E4" s="28">
        <f>SUMIFS(コスト表!D:D, コスト表!B:B, "敵", コスト表!G:G, "作業中")</f>
        <v>0</v>
      </c>
      <c r="F4" s="28">
        <f>SUMIFS(コスト表!D:D, コスト表!B:B, "敵", コスト表!G:G, "未着手")</f>
        <v>8</v>
      </c>
      <c r="G4" s="24">
        <f>ROUNDDOWN(COUNTIFS(コスト表!B:B, "敵", コスト表!G:G, "完了") / COUNTIF(コスト表!B:B, "敵") * 100,1)</f>
        <v>0</v>
      </c>
      <c r="I4" s="16" t="s">
        <v>19</v>
      </c>
      <c r="J4" s="13">
        <f ca="1">NETWORKDAYS(J5,J6)</f>
        <v>4</v>
      </c>
      <c r="K4" s="13">
        <f ca="1" xml:space="preserve"> ROUNDDOWN(J3 / J4,1)</f>
        <v>0.2</v>
      </c>
      <c r="M4" s="12"/>
    </row>
    <row r="5" spans="2:13" ht="19.5">
      <c r="B5" s="7" t="s">
        <v>67</v>
      </c>
      <c r="C5" s="8">
        <f>SUMIF(コスト表!B:B, B5, コスト表!D:D)</f>
        <v>2</v>
      </c>
      <c r="D5" s="28">
        <f>SUMIFS(コスト表!D:D, コスト表!B:B, "Boss", コスト表!G:G, "完了")</f>
        <v>0</v>
      </c>
      <c r="E5" s="28">
        <f>SUMIFS(コスト表!D:D, コスト表!B:B, "Boss", コスト表!G:G, "作業中")</f>
        <v>0</v>
      </c>
      <c r="F5" s="28">
        <f>SUMIFS(コスト表!D:D, コスト表!B:B, "Boss", コスト表!G:G, "未着手")</f>
        <v>2</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"ステージ", コスト表!G:G, "完了")</f>
        <v>0</v>
      </c>
      <c r="E6" s="28">
        <f>SUMIFS(コスト表!D:D, コスト表!B:B, "ステージ", コスト表!G:G, "作業中")</f>
        <v>0</v>
      </c>
      <c r="F6" s="28">
        <f>SUMIFS(コスト表!D:D,コスト表!B:B,"ステージ",コスト表!G:G,"未着手")</f>
        <v>1</v>
      </c>
      <c r="G6" s="24">
        <f>ROUNDDOWN(COUNTIFS(コスト表!B:B, "ステージ", コスト表!G:G, "完了") / COUNTIF(コスト表!B:B, "ステージ") * 100,1)</f>
        <v>0</v>
      </c>
      <c r="I6" s="18" t="s">
        <v>21</v>
      </c>
      <c r="J6" s="26">
        <f ca="1">TODAY()</f>
        <v>46059</v>
      </c>
      <c r="K6" s="26"/>
      <c r="L6" s="12"/>
      <c r="M6" s="12"/>
    </row>
    <row r="7" spans="2:13" ht="19.5">
      <c r="B7" s="7" t="s">
        <v>77</v>
      </c>
      <c r="C7" s="8">
        <f>SUMIF(コスト表!B:B, B7, コスト表!D:D)</f>
        <v>2</v>
      </c>
      <c r="D7" s="28">
        <f>SUMIFS(コスト表!D:D, コスト表!B:B, "チュートリアル", コスト表!G:G, "完了")</f>
        <v>0</v>
      </c>
      <c r="E7" s="28">
        <f>SUMIFS(コスト表!D:D, コスト表!B:B, "チュートリアル", コスト表!G:G, "作業中")</f>
        <v>0</v>
      </c>
      <c r="F7" s="28">
        <f>SUMIFS(コスト表!D:D,コスト表!B:B,"チュートリアル",コスト表!G:G,"未着手")</f>
        <v>2</v>
      </c>
      <c r="G7" s="24">
        <f>ROUNDDOWN(COUNTIFS(コスト表!B:B, "チュートリアル", コスト表!G:G, "完了") / COUNTIF(コスト表!B:B, "チュートリアル") * 100,1)</f>
        <v>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4.3</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2026-02-06T00:54:27Z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