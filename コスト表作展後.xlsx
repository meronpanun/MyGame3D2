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ocuments\GitHub\MyGame3D2\"/>
    </mc:Choice>
  </mc:AlternateContent>
  <xr:revisionPtr revIDLastSave="0" documentId="13_ncr:1_{B84B8413-3ADB-4432-B02C-7394CAE8CEE8}" xr6:coauthVersionLast="47" xr6:coauthVersionMax="47" xr10:uidLastSave="{00000000-0000-0000-0000-000000000000}"/>
  <bookViews>
    <workbookView xWindow="2220" yWindow="2655"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C9" i="2"/>
  <c r="F7" i="2"/>
  <c r="E7" i="2"/>
  <c r="D7" i="2"/>
  <c r="F6" i="2"/>
  <c r="E6" i="2"/>
  <c r="D6" i="2"/>
  <c r="F5" i="2"/>
  <c r="E5" i="2"/>
  <c r="D5" i="2"/>
  <c r="F4" i="2"/>
  <c r="E4" i="2"/>
  <c r="D4" i="2"/>
  <c r="G7" i="2"/>
  <c r="G6" i="2"/>
  <c r="C7" i="2"/>
  <c r="C6" i="2"/>
  <c r="G9" i="2"/>
  <c r="G8" i="2"/>
  <c r="G5" i="2"/>
  <c r="G4" i="2"/>
  <c r="D8" i="2"/>
  <c r="E8" i="2"/>
  <c r="F8" i="2"/>
  <c r="D9" i="2"/>
  <c r="E9" i="2"/>
  <c r="F9" i="2"/>
  <c r="J5" i="2"/>
  <c r="F3" i="2"/>
  <c r="E3" i="2"/>
  <c r="D3" i="2"/>
  <c r="G3" i="2" l="1"/>
  <c r="C4" i="2"/>
  <c r="C5" i="2"/>
  <c r="G10" i="2"/>
  <c r="J6" i="2" l="1"/>
  <c r="J3" i="2"/>
  <c r="C3" i="2"/>
  <c r="J2" i="2" l="1"/>
  <c r="J4" i="2"/>
  <c r="K4" i="2" s="1"/>
</calcChain>
</file>

<file path=xl/sharedStrings.xml><?xml version="1.0" encoding="utf-8"?>
<sst xmlns="http://schemas.openxmlformats.org/spreadsheetml/2006/main" count="136" uniqueCount="83">
  <si>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</si>
  <si>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</si>
  <si>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</si>
  <si>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</si>
  <si>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</si>
  <si>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</si>
  <si>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</si>
  <si>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</si>
  <si>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</si>
  <si>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</si>
  <si>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</si>
  <si>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</si>
  <si>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</si>
  <si>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</si>
  <si>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</si>
  <si>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</si>
  <si>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</si>
  <si>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</si>
  <si>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</si>
  <si>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</si>
  <si>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</si>
  <si>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</si>
  <si>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</si>
  <si>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</si>
  <si>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</si>
  <si>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</si>
  <si>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</si>
  <si>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</si>
  <si>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</si>
  <si>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</si>
  <si>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</si>
  <si>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</si>
  <si>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</si>
  <si>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</si>
  <si>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</si>
  <si>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</si>
  <si>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</si>
  <si>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</si>
  <si>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</si>
  <si>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</si>
  <si>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</si>
  <si>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</si>
  <si>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</si>
  <si>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</si>
  <si>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</si>
  <si>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</si>
  <si>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</si>
  <si>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</si>
  <si>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</si>
  <si>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</si>
  <si>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</si>
  <si>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</si>
  <si>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</si>
  <si>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</si>
  <si>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</si>
  <si>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</si>
  <si>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</si>
  <si>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</si>
  <si>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</si>
  <si>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</si>
  <si>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</si>
  <si>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</si>
  <si>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</si>
  <si>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</si>
  <si>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</si>
  <si>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</si>
  <si>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</si>
  <si>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</si>
  <si>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</si>
  <si>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</si>
  <si>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</si>
  <si>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</si>
  <si>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</si>
  <si>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</si>
  <si>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</si>
  <si>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</si>
  <si>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</si>
  <si>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</si>
  <si>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</si>
  <si>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</si>
  <si>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</si>
  <si>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</si>
  <si>
    <t>遠距離攻撃で射線が通っていない状態で攻撃をしてくる不具合</t>
    <rPh sb="0" eb="5">
      <t>エンキョリコウゲキ</t>
    </rPh>
    <rPh sb="6" eb="8">
      <t>シャセン</t>
    </rPh>
    <rPh sb="9" eb="10">
      <t>トオ</t>
    </rPh>
    <rPh sb="15" eb="17">
      <t>ジョウタイ</t>
    </rPh>
    <rPh sb="18" eb="20">
      <t>コウゲキ</t>
    </rPh>
    <rPh sb="25" eb="28">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</si>
</sst>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2">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
      <patternFill patternType="solid">
        <fgColor theme="0"/>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4">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11" borderId="0" xfId="0" applyFont="1" applyFill="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18" activePane="bottomLeft" state="frozen"/>
      <selection pane="bottomLeft" activeCell="H26" sqref="H26"/>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G3" s="39" t="s">
        <v>11</v>
      </c>
      <c r="H3" s="36" t="s">
        <v>73</v>
      </c>
    </row>
    <row r="4" spans="2:8" ht="18.75">
      <c r="B4" s="34" t="s">
        <v>38</v>
      </c>
      <c r="C4" s="36" t="s">
        <v>40</v>
      </c>
      <c r="D4" s="39">
        <v>2</v>
      </c>
      <c r="E4" s="39" t="s">
        <v>13</v>
      </c>
      <c r="G4" s="39" t="s">
        <v>9</v>
      </c>
      <c r="H4" s="36"/>
    </row>
    <row r="5" spans="2:8" ht="18.75">
      <c r="B5" s="34" t="s">
        <v>7</v>
      </c>
      <c r="C5" s="36" t="s">
        <v>47</v>
      </c>
      <c r="D5" s="39">
        <v>2</v>
      </c>
      <c r="E5" s="39" t="s">
        <v>13</v>
      </c>
      <c r="G5" s="39" t="s">
        <v>9</v>
      </c>
      <c r="H5" s="36" t="s">
        <v>49</v>
      </c>
    </row>
    <row r="6" spans="2:8" ht="38.25" thickBot="1">
      <c r="B6" s="35" t="s">
        <v>38</v>
      </c>
      <c r="C6" s="37" t="s">
        <v>52</v>
      </c>
      <c r="D6" s="40">
        <v>3</v>
      </c>
      <c r="E6" s="40" t="s">
        <v>8</v>
      </c>
      <c r="F6" s="40"/>
      <c r="G6" s="40" t="s">
        <v>9</v>
      </c>
      <c r="H6" s="45" t="s">
        <v>53</v>
      </c>
    </row>
    <row r="7" spans="2:8" ht="18.75">
      <c r="B7" s="33" t="s">
        <v>41</v>
      </c>
      <c r="C7" s="42" t="s">
        <v>44</v>
      </c>
      <c r="D7" s="38">
        <v>1</v>
      </c>
      <c r="E7" s="38" t="s">
        <v>13</v>
      </c>
      <c r="F7" s="38"/>
      <c r="G7" s="39" t="s">
        <v>9</v>
      </c>
      <c r="H7" s="42"/>
    </row>
    <row r="8" spans="2:8" ht="18.75">
      <c r="B8" s="34" t="s">
        <v>41</v>
      </c>
      <c r="C8" s="36" t="s">
        <v>46</v>
      </c>
      <c r="D8" s="39">
        <v>0.5</v>
      </c>
      <c r="E8" s="39" t="s">
        <v>8</v>
      </c>
      <c r="G8" s="39" t="s">
        <v>9</v>
      </c>
      <c r="H8" s="36"/>
    </row>
    <row r="9" spans="2:8" ht="18.75">
      <c r="B9" s="34" t="s">
        <v>41</v>
      </c>
      <c r="C9" s="43" t="s">
        <v>48</v>
      </c>
      <c r="D9" s="39">
        <v>0.5</v>
      </c>
      <c r="E9" s="39" t="s">
        <v>13</v>
      </c>
      <c r="G9" s="39" t="s">
        <v>9</v>
      </c>
      <c r="H9" s="36" t="s">
        <v>61</v>
      </c>
    </row>
    <row r="10" spans="2:8" ht="18.75">
      <c r="B10" s="34" t="s">
        <v>41</v>
      </c>
      <c r="C10" s="43" t="s">
        <v>54</v>
      </c>
      <c r="D10" s="39">
        <v>1</v>
      </c>
      <c r="E10" s="39" t="s">
        <v>8</v>
      </c>
      <c r="G10" s="39" t="s">
        <v>9</v>
      </c>
      <c r="H10" s="43" t="s">
        <v>56</v>
      </c>
    </row>
    <row r="11" spans="2:8" ht="18.75">
      <c r="B11" s="34" t="s">
        <v>41</v>
      </c>
      <c r="C11" s="43" t="s">
        <v>58</v>
      </c>
      <c r="D11" s="39">
        <v>1</v>
      </c>
      <c r="E11" s="39" t="s">
        <v>8</v>
      </c>
      <c r="G11" s="39" t="s">
        <v>9</v>
      </c>
      <c r="H11" s="43" t="s">
        <v>59</v>
      </c>
    </row>
    <row r="12" spans="2:8" ht="18.75">
      <c r="B12" s="34" t="s">
        <v>41</v>
      </c>
      <c r="C12" s="43" t="s">
        <v>63</v>
      </c>
      <c r="D12" s="39">
        <v>1</v>
      </c>
      <c r="E12" s="39" t="s">
        <v>8</v>
      </c>
      <c r="G12" s="39" t="s">
        <v>9</v>
      </c>
      <c r="H12" s="43" t="s">
        <v>60</v>
      </c>
    </row>
    <row r="13" spans="2:8" ht="18.75">
      <c r="B13" s="34" t="s">
        <v>71</v>
      </c>
      <c r="C13" s="43" t="s">
        <v>72</v>
      </c>
      <c r="D13" s="39">
        <v>1</v>
      </c>
      <c r="E13" s="39" t="s">
        <v>8</v>
      </c>
      <c r="G13" s="39" t="s">
        <v>9</v>
      </c>
      <c r="H13" s="43"/>
    </row>
    <row r="14" spans="2:8" ht="38.25" thickBot="1">
      <c r="B14" s="35" t="s">
        <v>41</v>
      </c>
      <c r="C14" s="44" t="s">
        <v>55</v>
      </c>
      <c r="D14" s="40">
        <v>2</v>
      </c>
      <c r="E14" s="40" t="s">
        <v>8</v>
      </c>
      <c r="F14" s="40"/>
      <c r="G14" s="39" t="s">
        <v>9</v>
      </c>
      <c r="H14" s="46" t="s">
        <v>57</v>
      </c>
    </row>
    <row r="15" spans="2:8" ht="18.75">
      <c r="B15" s="33" t="s">
        <v>43</v>
      </c>
      <c r="C15" s="42" t="s">
        <v>45</v>
      </c>
      <c r="D15" s="38">
        <v>1</v>
      </c>
      <c r="E15" s="38" t="s">
        <v>13</v>
      </c>
      <c r="F15" s="38"/>
      <c r="G15" s="38" t="s">
        <v>9</v>
      </c>
      <c r="H15" s="42"/>
    </row>
    <row r="16" spans="2:8" ht="18.75">
      <c r="B16" s="34" t="s">
        <v>42</v>
      </c>
      <c r="C16" s="36" t="s">
        <v>46</v>
      </c>
      <c r="D16" s="39">
        <v>0.5</v>
      </c>
      <c r="E16" s="39" t="s">
        <v>13</v>
      </c>
      <c r="G16" s="39" t="s">
        <v>9</v>
      </c>
      <c r="H16" s="36"/>
    </row>
    <row r="17" spans="2:8" ht="18.75">
      <c r="B17" s="34" t="s">
        <v>42</v>
      </c>
      <c r="C17" s="43" t="s">
        <v>48</v>
      </c>
      <c r="D17" s="39">
        <v>0.5</v>
      </c>
      <c r="E17" s="39" t="s">
        <v>13</v>
      </c>
      <c r="G17" s="39" t="s">
        <v>9</v>
      </c>
      <c r="H17" s="36" t="s">
        <v>62</v>
      </c>
    </row>
    <row r="18" spans="2:8" ht="19.5" thickBot="1">
      <c r="B18" s="35"/>
      <c r="C18" s="44"/>
      <c r="D18" s="40"/>
      <c r="E18" s="40"/>
      <c r="F18" s="40"/>
      <c r="G18" s="40" t="s">
        <v>9</v>
      </c>
      <c r="H18" s="37"/>
    </row>
    <row r="19" spans="2:8" ht="19.5" thickBot="1">
      <c r="B19" s="48" t="s">
        <v>50</v>
      </c>
      <c r="C19" s="49" t="s">
        <v>51</v>
      </c>
      <c r="D19" s="50">
        <v>1</v>
      </c>
      <c r="E19" s="50" t="s">
        <v>8</v>
      </c>
      <c r="F19" s="50"/>
      <c r="G19" s="50" t="s">
        <v>9</v>
      </c>
      <c r="H19" s="51"/>
    </row>
    <row r="20" spans="2:8" ht="19.5" thickBot="1">
      <c r="B20" s="48" t="s">
        <v>74</v>
      </c>
      <c r="C20" s="49" t="s">
        <v>75</v>
      </c>
      <c r="D20" s="50">
        <v>2</v>
      </c>
      <c r="E20" s="50" t="s">
        <v>13</v>
      </c>
      <c r="F20" s="50"/>
      <c r="G20" s="50" t="s">
        <v>9</v>
      </c>
      <c r="H20" s="51" t="s">
        <v>76</v>
      </c>
    </row>
    <row r="21" spans="2:8" ht="19.5" thickBot="1">
      <c r="B21" s="48" t="s">
        <v>64</v>
      </c>
      <c r="C21" s="49"/>
      <c r="D21" s="50">
        <v>0</v>
      </c>
      <c r="E21" s="50"/>
      <c r="F21" s="50"/>
      <c r="G21" s="50" t="s">
        <v>9</v>
      </c>
      <c r="H21" s="52"/>
    </row>
    <row r="22" spans="2:8" ht="19.5" thickBot="1">
      <c r="B22" s="49" t="s">
        <v>65</v>
      </c>
      <c r="C22" s="49"/>
      <c r="D22" s="50">
        <v>0</v>
      </c>
      <c r="E22" s="50"/>
      <c r="F22" s="50"/>
      <c r="G22" s="50" t="s">
        <v>9</v>
      </c>
      <c r="H22" s="52"/>
    </row>
    <row r="23" spans="2:8" ht="18.75">
      <c r="B23" t="s">
        <v>79</v>
      </c>
      <c r="C23"/>
      <c r="D23" s="4"/>
      <c r="E23" s="4"/>
      <c r="F23" s="4"/>
      <c r="G23" s="4"/>
      <c r="H23" s="6"/>
    </row>
    <row r="24" spans="2:8" ht="18.75">
      <c r="B24" t="s">
        <v>80</v>
      </c>
      <c r="C24"/>
      <c r="D24" s="4"/>
      <c r="E24" s="4"/>
      <c r="F24" s="4"/>
      <c r="G24" s="4"/>
      <c r="H24" s="6"/>
    </row>
    <row r="25" spans="2:8" ht="18.75">
      <c r="B25" t="s">
        <v>78</v>
      </c>
      <c r="C25"/>
      <c r="D25" s="4"/>
      <c r="E25" s="4"/>
      <c r="F25" s="4"/>
      <c r="G25" s="4"/>
      <c r="H25" s="6"/>
    </row>
    <row r="26" spans="2:8" ht="18.75">
      <c r="B26" t="s">
        <v>81</v>
      </c>
      <c r="C26"/>
      <c r="D26" s="4"/>
      <c r="E26" s="4"/>
      <c r="F26" s="4"/>
      <c r="G26" s="4"/>
      <c r="H26" s="6"/>
    </row>
    <row r="27" spans="2:8" ht="18.75">
      <c r="B27" t="s">
        <v>82</v>
      </c>
      <c r="C27"/>
      <c r="D27" s="4"/>
      <c r="E27" s="4"/>
      <c r="F27" s="4"/>
      <c r="G27" s="4"/>
      <c r="H27" s="6"/>
    </row>
    <row r="28" spans="2:8" ht="18.75">
      <c r="C28"/>
      <c r="D28" s="4"/>
      <c r="E28" s="4"/>
      <c r="F28" s="4"/>
      <c r="G28" s="4"/>
      <c r="H28" s="6"/>
    </row>
    <row r="29" spans="2:8" ht="18.75">
      <c r="C29"/>
      <c r="D29" s="4"/>
      <c r="E29" s="4"/>
      <c r="F29" s="4"/>
      <c r="G29" s="4"/>
      <c r="H29" s="6"/>
    </row>
    <row r="30" spans="2:8" ht="18.75">
      <c r="C30"/>
      <c r="D30" s="4"/>
      <c r="E30" s="4"/>
      <c r="F30" s="4"/>
      <c r="G30" s="4"/>
      <c r="H30" s="6"/>
    </row>
    <row r="31" spans="2:8" ht="18.75">
      <c r="C31"/>
      <c r="D31" s="4"/>
      <c r="E31" s="4"/>
      <c r="F31" s="4"/>
      <c r="G31" s="4"/>
      <c r="H31" s="6"/>
    </row>
    <row r="32" spans="2:8" ht="18.75">
      <c r="C32"/>
      <c r="D32" s="4"/>
      <c r="E32" s="4"/>
      <c r="F32" s="4"/>
      <c r="G32" s="4"/>
      <c r="H32" s="6"/>
    </row>
    <row r="33" spans="3:8" ht="18.75">
      <c r="C33"/>
      <c r="D33" s="4"/>
      <c r="E33" s="4"/>
      <c r="F33" s="4"/>
      <c r="G33" s="4"/>
      <c r="H33" s="6"/>
    </row>
    <row r="34" spans="3:8" ht="18.75">
      <c r="C34"/>
      <c r="D34" s="4"/>
      <c r="E34" s="4"/>
      <c r="F34" s="4"/>
      <c r="G34" s="4"/>
      <c r="H34" s="6"/>
    </row>
    <row r="35" spans="3:8" ht="18.75">
      <c r="C35"/>
      <c r="D35" s="4"/>
      <c r="E35" s="4"/>
      <c r="F35" s="4"/>
      <c r="G35" s="4"/>
      <c r="H35" s="6"/>
    </row>
    <row r="36" spans="3:8" ht="18.75">
      <c r="C36"/>
      <c r="D36" s="4"/>
      <c r="E36" s="4"/>
      <c r="F36" s="4"/>
      <c r="G36" s="4"/>
      <c r="H36" s="6"/>
    </row>
    <row r="37" spans="3:8" ht="18.75">
      <c r="C37"/>
      <c r="D37" s="4"/>
      <c r="E37" s="4"/>
      <c r="F37" s="4"/>
      <c r="G37" s="4"/>
      <c r="H37" s="6"/>
    </row>
    <row r="38" spans="3:8" ht="18.75">
      <c r="C38"/>
      <c r="D38" s="4"/>
      <c r="E38" s="4"/>
      <c r="F38" s="4"/>
      <c r="G38" s="4"/>
      <c r="H38" s="6"/>
    </row>
    <row r="39" spans="3:8" ht="18.75">
      <c r="C39"/>
      <c r="D39" s="4"/>
      <c r="E39" s="4"/>
      <c r="F39" s="4"/>
      <c r="G39" s="4"/>
      <c r="H39" s="6"/>
    </row>
    <row r="40" spans="3:8" ht="18.75">
      <c r="C40"/>
      <c r="D40" s="4"/>
      <c r="E40" s="4"/>
      <c r="F40" s="4"/>
      <c r="G40" s="4"/>
      <c r="H40" s="6"/>
    </row>
    <row r="41" spans="3:8" ht="18.75">
      <c r="C41"/>
      <c r="D41" s="4"/>
      <c r="E41" s="4"/>
      <c r="F41" s="4"/>
      <c r="G41" s="4"/>
      <c r="H41" s="6"/>
    </row>
    <row r="42" spans="3:8" ht="18.75">
      <c r="C42"/>
      <c r="D42" s="4"/>
      <c r="E42" s="4"/>
      <c r="F42" s="4"/>
      <c r="G42" s="4"/>
      <c r="H42" s="6"/>
    </row>
    <row r="43" spans="3:8" ht="18.75">
      <c r="C43"/>
      <c r="D43" s="4"/>
      <c r="E43" s="4"/>
      <c r="F43" s="4"/>
      <c r="G43" s="4"/>
      <c r="H43" s="6"/>
    </row>
    <row r="44" spans="3:8" ht="18.75">
      <c r="C44"/>
      <c r="D44" s="4"/>
      <c r="E44" s="4"/>
      <c r="F44" s="4"/>
      <c r="G44" s="4"/>
      <c r="H44" s="6"/>
    </row>
    <row r="45" spans="3:8" ht="18.75">
      <c r="C45"/>
      <c r="D45" s="4"/>
      <c r="E45" s="4"/>
      <c r="F45" s="4"/>
      <c r="G45" s="4"/>
      <c r="H45" s="6"/>
    </row>
    <row r="46" spans="3:8" ht="18.75">
      <c r="C46"/>
      <c r="D46" s="4"/>
      <c r="E46" s="4"/>
      <c r="F46" s="4"/>
      <c r="G46" s="4"/>
      <c r="H46" s="6"/>
    </row>
    <row r="47" spans="3:8" ht="18.75">
      <c r="C47"/>
      <c r="D47" s="4"/>
      <c r="E47" s="4"/>
      <c r="F47" s="4"/>
      <c r="G47" s="4"/>
      <c r="H47" s="6"/>
    </row>
    <row r="48" spans="3: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C9" sqref="C9"/>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21</v>
      </c>
      <c r="K2" s="13"/>
      <c r="L2" s="12"/>
      <c r="M2" s="12"/>
    </row>
    <row r="3" spans="2:13" ht="19.5">
      <c r="B3" s="7" t="s">
        <v>7</v>
      </c>
      <c r="C3" s="8">
        <f>SUMIF(コスト表!B:B, B3, コスト表!D:D)</f>
        <v>8</v>
      </c>
      <c r="D3" s="28">
        <f>SUMIFS(コスト表!D:D, コスト表!B:B, "プレイヤー", コスト表!G:G, "完了")</f>
        <v>0</v>
      </c>
      <c r="E3" s="28">
        <f>SUMIFS(コスト表!D:D, コスト表!B:B, "プレイヤー", コスト表!G:G, "作業中")</f>
        <v>1</v>
      </c>
      <c r="F3" s="28">
        <f>SUMIFS(コスト表!D:D, コスト表!B:B, "プレイヤー", コスト表!G:G, "未着手")</f>
        <v>7</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 コスト表!G:G, "完了")</f>
        <v>0</v>
      </c>
      <c r="E4" s="28">
        <f>SUMIFS(コスト表!D:D, コスト表!B:B, "敵", コスト表!G:G, "作業中")</f>
        <v>0</v>
      </c>
      <c r="F4" s="28">
        <f>SUMIFS(コスト表!D:D, コスト表!B:B, "敵", コスト表!G:G, "未着手")</f>
        <v>8</v>
      </c>
      <c r="G4" s="24">
        <f>ROUNDDOWN(COUNTIFS(コスト表!B:B, "敵", コスト表!G:G, "完了") / COUNTIF(コスト表!B:B, "敵") * 100,1)</f>
        <v>0</v>
      </c>
      <c r="I4" s="16" t="s">
        <v>19</v>
      </c>
      <c r="J4" s="13">
        <f ca="1">NETWORKDAYS(J5,J6)</f>
        <v>2</v>
      </c>
      <c r="K4" s="13">
        <f ca="1" xml:space="preserve"> ROUNDDOWN(J3 / J4,1)</f>
        <v>0</v>
      </c>
      <c r="M4" s="12"/>
    </row>
    <row r="5" spans="2:13" ht="19.5">
      <c r="B5" s="7" t="s">
        <v>67</v>
      </c>
      <c r="C5" s="8">
        <f>SUMIF(コスト表!B:B, B5, コスト表!D:D)</f>
        <v>2</v>
      </c>
      <c r="D5" s="28">
        <f>SUMIFS(コスト表!D:D, コスト表!B:B, "Boss", コスト表!G:G, "完了")</f>
        <v>0</v>
      </c>
      <c r="E5" s="28">
        <f>SUMIFS(コスト表!D:D, コスト表!B:B, "Boss", コスト表!G:G, "作業中")</f>
        <v>0</v>
      </c>
      <c r="F5" s="28">
        <f>SUMIFS(コスト表!D:D, コスト表!B:B, "Boss", コスト表!G:G, "未着手")</f>
        <v>2</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"ステージ", コスト表!G:G, "完了")</f>
        <v>0</v>
      </c>
      <c r="E6" s="28">
        <f>SUMIFS(コスト表!D:D, コスト表!B:B, "ステージ", コスト表!G:G, "作業中")</f>
        <v>0</v>
      </c>
      <c r="F6" s="28">
        <f>SUMIFS(コスト表!D:D,コスト表!B:B,"ステージ",コスト表!G:G,"未着手")</f>
        <v>1</v>
      </c>
      <c r="G6" s="24">
        <f>ROUNDDOWN(COUNTIFS(コスト表!B:B, "ステージ", コスト表!G:G, "完了") / COUNTIF(コスト表!B:B, "ステージ") * 100,1)</f>
        <v>0</v>
      </c>
      <c r="I6" s="18" t="s">
        <v>21</v>
      </c>
      <c r="J6" s="26">
        <f ca="1">TODAY()</f>
        <v>46057</v>
      </c>
      <c r="K6" s="26"/>
      <c r="L6" s="12"/>
      <c r="M6" s="12"/>
    </row>
    <row r="7" spans="2:13" ht="19.5">
      <c r="B7" s="7" t="s">
        <v>77</v>
      </c>
      <c r="C7" s="8">
        <f>SUMIF(コスト表!B:B, B7, コスト表!D:D)</f>
        <v>2</v>
      </c>
      <c r="D7" s="28">
        <f>SUMIFS(コスト表!D:D, コスト表!B:B, "チュートリアル", コスト表!G:G, "完了")</f>
        <v>0</v>
      </c>
      <c r="E7" s="28">
        <f>SUMIFS(コスト表!D:D, コスト表!B:B, "チュートリアル", コスト表!G:G, "作業中")</f>
        <v>0</v>
      </c>
      <c r="F7" s="28">
        <f>SUMIFS(コスト表!D:D,コスト表!B:B,"チュートリアル",コスト表!G:G,"未着手")</f>
        <v>2</v>
      </c>
      <c r="G7" s="24">
        <f>ROUNDDOWN(COUNTIFS(コスト表!B:B, "チュートリアル", コスト表!G:G, "完了") / COUNTIF(コスト表!B:B, "チュートリアル") * 100,1)</f>
        <v>0</v>
      </c>
      <c r="I7" s="53"/>
      <c r="J7" s="26"/>
      <c r="K7" s="26"/>
      <c r="L7" s="12"/>
      <c r="M7" s="12"/>
    </row>
    <row r="8" spans="2:13">
      <c r="B8" s="7" t="s">
        <v>69</v>
      </c>
      <c r="C8" s="8">
        <f>SUMIF(コスト表!B:B, B8, コスト表!D:D)</f>
        <v>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2026-02-04T03:28:59Z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