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由留部 瑛人.FICPCROOMB14\Documents\GitHub\MyGame3D2\"/>
    </mc:Choice>
  </mc:AlternateContent>
  <xr:revisionPtr revIDLastSave="0" documentId="13_ncr:1_{B09ED3D0-3550-4832-9528-277846D0BAD6}" xr6:coauthVersionLast="47" xr6:coauthVersionMax="47" xr10:uidLastSave="{00000000-0000-0000-0000-000000000000}"/>
  <bookViews>
    <workbookView xWindow="2685" yWindow="975" windowWidth="24600" windowHeight="13245" xr2:uid="{00000000-000D-0000-FFFF-FFFF00000000}"/>
  </bookViews>
  <sheets>
    <sheet name="コスト表" sheetId="1" r:id="rId1"/>
    <sheet name="集計" sheetId="2" r:id="rId2"/>
    <sheet name="プルダウン用" sheetId="3" state="hidden" r:id="rId3"/>
  </sheets>
  <definedNames>
    <definedName name="_xlnm._FilterDatabase" localSheetId="0" hidden="1">コスト表!$E$2:$G$104</definedName>
    <definedName name="_xlnm._FilterDatabase" localSheetId="1" hidden="1">集計!$B$2:$G$15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 i="2" l="1"/>
  <c r="C9" i="2"/>
  <c r="F7" i="2"/>
  <c r="E7" i="2"/>
  <c r="D7" i="2"/>
  <c r="F6" i="2"/>
  <c r="E6" i="2"/>
  <c r="D6" i="2"/>
  <c r="F5" i="2"/>
  <c r="E5" i="2"/>
  <c r="D5" i="2"/>
  <c r="F4" i="2"/>
  <c r="E4" i="2"/>
  <c r="D4" i="2"/>
  <c r="G7" i="2"/>
  <c r="G6" i="2"/>
  <c r="C7" i="2"/>
  <c r="C6" i="2"/>
  <c r="G9" i="2"/>
  <c r="G8" i="2"/>
  <c r="G5" i="2"/>
  <c r="G4" i="2"/>
  <c r="D8" i="2"/>
  <c r="E8" i="2"/>
  <c r="F8" i="2"/>
  <c r="D9" i="2"/>
  <c r="E9" i="2"/>
  <c r="F9" i="2"/>
  <c r="J5" i="2"/>
  <c r="F3" i="2"/>
  <c r="E3" i="2"/>
  <c r="D3" i="2"/>
  <c r="G3" i="2" l="1"/>
  <c r="C4" i="2"/>
  <c r="C5" i="2"/>
  <c r="G10" i="2"/>
  <c r="J6" i="2" l="1"/>
  <c r="J3" i="2"/>
  <c r="C3" i="2"/>
  <c r="J2" i="2" l="1"/>
  <c r="J4" i="2"/>
  <c r="K4" i="2" s="1"/>
</calcChain>
</file>

<file path=xl/sharedStrings.xml><?xml version="1.0" encoding="utf-8"?>
<sst xmlns="http://schemas.openxmlformats.org/spreadsheetml/2006/main" count="155" uniqueCount="97">
  <si>
    <t>分類</t>
  </si>
  <si>
    <t>タスク</t>
  </si>
  <si>
    <t>コスト(時間)</t>
  </si>
  <si>
    <t>優先度</t>
  </si>
  <si>
    <t>制作段階</t>
  </si>
  <si>
    <t>進捗</t>
  </si>
  <si>
    <t>備考</t>
  </si>
  <si>
    <t>プレイヤー</t>
  </si>
  <si>
    <t>S</t>
  </si>
  <si>
    <t>未着手</t>
  </si>
  <si>
    <t>B</t>
  </si>
  <si>
    <t>作業中</t>
  </si>
  <si>
    <t>完了</t>
  </si>
  <si>
    <t>A</t>
  </si>
  <si>
    <t>進捗段階</t>
  </si>
  <si>
    <t>C</t>
  </si>
  <si>
    <t>総コスト</t>
  </si>
  <si>
    <t>消化コスト</t>
  </si>
  <si>
    <t>消費コスト / 日数</t>
  </si>
  <si>
    <t>現在の日数(土日除く)</t>
  </si>
  <si>
    <t>開始日</t>
  </si>
  <si>
    <t>今日の日付</t>
  </si>
  <si>
    <t>進捗率 (%)</t>
  </si>
  <si>
    <t>合計進捗率</t>
    <rPh sb="0" eb="5">
      <t>ゴウケイシンチョクリツ</t>
    </rPh>
    <phoneticPr fontId="1"/>
  </si>
  <si>
    <t>削除</t>
    <rPh sb="0" eb="2">
      <t>サクジョ</t>
    </rPh>
    <phoneticPr fontId="1"/>
  </si>
  <si>
    <t>1コス=1時間</t>
    <rPh sb="5" eb="7">
      <t>ジカン</t>
    </rPh>
    <phoneticPr fontId="1"/>
  </si>
  <si>
    <t>完了コスト</t>
    <rPh sb="0" eb="2">
      <t>カンリョウ</t>
    </rPh>
    <phoneticPr fontId="1"/>
  </si>
  <si>
    <t>コスト合計</t>
    <rPh sb="3" eb="5">
      <t>ゴウケイ</t>
    </rPh>
    <phoneticPr fontId="1"/>
  </si>
  <si>
    <t>S：実装が必須</t>
  </si>
  <si>
    <t>A：重要な要素</t>
  </si>
  <si>
    <t>B：なくても問題ないがあるといい</t>
  </si>
  <si>
    <t>C：なくても問題ない</t>
  </si>
  <si>
    <t>作業中コスト</t>
    <rPh sb="0" eb="2">
      <t>サギョウ</t>
    </rPh>
    <rPh sb="2" eb="3">
      <t>チュウ</t>
    </rPh>
    <phoneticPr fontId="1"/>
  </si>
  <si>
    <t>未着手コスト</t>
    <rPh sb="0" eb="3">
      <t>ミチャクシュ</t>
    </rPh>
    <phoneticPr fontId="1"/>
  </si>
  <si>
    <t>11月</t>
    <rPh sb="2" eb="3">
      <t>ガツ</t>
    </rPh>
    <phoneticPr fontId="1"/>
  </si>
  <si>
    <t>12月</t>
    <rPh sb="2" eb="3">
      <t>ガツ</t>
    </rPh>
    <phoneticPr fontId="1"/>
  </si>
  <si>
    <t>1月</t>
    <rPh sb="1" eb="2">
      <t>ガツ</t>
    </rPh>
    <phoneticPr fontId="1"/>
  </si>
  <si>
    <t>10月</t>
    <rPh sb="2" eb="3">
      <t>ガツ</t>
    </rPh>
    <phoneticPr fontId="1"/>
  </si>
  <si>
    <t>プレイヤー</t>
    <phoneticPr fontId="1"/>
  </si>
  <si>
    <t>ARとSGの性能を明確化</t>
  </si>
  <si>
    <t>パリィ時のエフェクト</t>
    <rPh sb="3" eb="4">
      <t>ジ</t>
    </rPh>
    <phoneticPr fontId="1"/>
  </si>
  <si>
    <t>敵</t>
    <rPh sb="0" eb="1">
      <t>テキ</t>
    </rPh>
    <phoneticPr fontId="1"/>
  </si>
  <si>
    <t>Boss</t>
  </si>
  <si>
    <t>Boss</t>
    <phoneticPr fontId="1"/>
  </si>
  <si>
    <t>ヘッドショット専用エフェクト</t>
    <rPh sb="7" eb="9">
      <t>センヨウ</t>
    </rPh>
    <phoneticPr fontId="1"/>
  </si>
  <si>
    <t>近距離範囲攻撃時のエフェクト</t>
    <rPh sb="0" eb="3">
      <t>キンキョリ</t>
    </rPh>
    <rPh sb="3" eb="7">
      <t>ハンイコウゲキ</t>
    </rPh>
    <rPh sb="7" eb="8">
      <t>ジ</t>
    </rPh>
    <phoneticPr fontId="1"/>
  </si>
  <si>
    <t>パリィ時の怯みアニメーション</t>
    <rPh sb="3" eb="4">
      <t>ジ</t>
    </rPh>
    <rPh sb="5" eb="6">
      <t>ヒル</t>
    </rPh>
    <phoneticPr fontId="1"/>
  </si>
  <si>
    <t>SE</t>
  </si>
  <si>
    <t>SE</t>
    <phoneticPr fontId="1"/>
  </si>
  <si>
    <t>低HP、パリィ、弾切れ、薬莢、ジャンプ、着地、盾投げ、ガード、ダメージボイス</t>
    <rPh sb="0" eb="1">
      <t>テイ</t>
    </rPh>
    <rPh sb="8" eb="10">
      <t>タマギ</t>
    </rPh>
    <rPh sb="12" eb="14">
      <t>ヤッキョウ</t>
    </rPh>
    <rPh sb="20" eb="22">
      <t>チャクチ</t>
    </rPh>
    <rPh sb="23" eb="25">
      <t>タテナ</t>
    </rPh>
    <phoneticPr fontId="1"/>
  </si>
  <si>
    <t>ステージ</t>
    <phoneticPr fontId="1"/>
  </si>
  <si>
    <t>ステージサイズ調整</t>
    <rPh sb="7" eb="9">
      <t>チョウセイ</t>
    </rPh>
    <phoneticPr fontId="1"/>
  </si>
  <si>
    <t>投擲・衝突判定の拡張</t>
    <phoneticPr fontId="1"/>
  </si>
  <si>
    <t>盾が「特定の属性（シールド破壊属性）」を持っているという情報の定義
盾が敵に当たった際、その敵が「シールド赤熱状態」かどうかを判定するロジック</t>
    <phoneticPr fontId="1"/>
  </si>
  <si>
    <t>シールドHP</t>
  </si>
  <si>
    <t>ダメージフィルター</t>
  </si>
  <si>
    <t>敵の本体HPとは別に「シールド耐久値」のパラメータ追加</t>
    <phoneticPr fontId="1"/>
  </si>
  <si>
    <t>「シールドあり」状態では、銃弾ダメージを0にする処理
累計ダメージが一定を超えたら「赤熱状態」へ移行</t>
    <phoneticPr fontId="1"/>
  </si>
  <si>
    <t>シールドエフェクトの描画</t>
  </si>
  <si>
    <t>赤熱状態の際、エフェクトの色を赤に変更し、点滅させるなどの視覚的強調</t>
  </si>
  <si>
    <t>シールドが壊れた際の専用モーション</t>
  </si>
  <si>
    <t>ヘッドショット、ダメージボイス、攻撃ボイス、シールド関係</t>
    <rPh sb="16" eb="18">
      <t>コウゲキ</t>
    </rPh>
    <rPh sb="26" eb="28">
      <t>カンケイ</t>
    </rPh>
    <phoneticPr fontId="1"/>
  </si>
  <si>
    <t>ヘッドショット、ダメージボイス、攻撃ボイス</t>
    <rPh sb="16" eb="18">
      <t>コウゲキ</t>
    </rPh>
    <phoneticPr fontId="1"/>
  </si>
  <si>
    <t>破壊時のアクション</t>
    <phoneticPr fontId="1"/>
  </si>
  <si>
    <t>ポートフォリオ</t>
    <phoneticPr fontId="1"/>
  </si>
  <si>
    <t>動画作成</t>
    <rPh sb="0" eb="4">
      <t>ドウガサクセイ</t>
    </rPh>
    <phoneticPr fontId="1"/>
  </si>
  <si>
    <t>敵</t>
    <rPh sb="0" eb="1">
      <t>テキ</t>
    </rPh>
    <phoneticPr fontId="1"/>
  </si>
  <si>
    <t>Boss</t>
    <phoneticPr fontId="1"/>
  </si>
  <si>
    <t>ステージ</t>
    <phoneticPr fontId="1"/>
  </si>
  <si>
    <t>ポートフォリオ</t>
    <phoneticPr fontId="1"/>
  </si>
  <si>
    <t>動画作成</t>
    <rPh sb="0" eb="2">
      <t>ドウガ</t>
    </rPh>
    <rPh sb="2" eb="4">
      <t>サクセイ</t>
    </rPh>
    <phoneticPr fontId="1"/>
  </si>
  <si>
    <t>敵</t>
    <rPh sb="0" eb="1">
      <t>テキ</t>
    </rPh>
    <phoneticPr fontId="1"/>
  </si>
  <si>
    <t>ノックバック</t>
    <phoneticPr fontId="1"/>
  </si>
  <si>
    <t>ARは現状のままでSGは距離に応じたダメージ減衰機能、ノックバックなど</t>
    <phoneticPr fontId="1"/>
  </si>
  <si>
    <t>チュートリアル</t>
    <phoneticPr fontId="1"/>
  </si>
  <si>
    <t>UI</t>
    <phoneticPr fontId="1"/>
  </si>
  <si>
    <t>チュートリアル中のプレイヤー制限時禁止マーク、マウスUIアニメーション</t>
    <rPh sb="7" eb="8">
      <t>ナカ</t>
    </rPh>
    <rPh sb="14" eb="16">
      <t>セイゲン</t>
    </rPh>
    <rPh sb="16" eb="17">
      <t>ジ</t>
    </rPh>
    <rPh sb="17" eb="19">
      <t>キンシ</t>
    </rPh>
    <phoneticPr fontId="1"/>
  </si>
  <si>
    <t>チュートリアル</t>
    <phoneticPr fontId="1"/>
  </si>
  <si>
    <t>ゲームオーバー、クリアリザルトの倒した敵の数があっていない不具合</t>
    <rPh sb="16" eb="17">
      <t>タオ</t>
    </rPh>
    <rPh sb="19" eb="20">
      <t>テキ</t>
    </rPh>
    <rPh sb="21" eb="22">
      <t>カズ</t>
    </rPh>
    <rPh sb="29" eb="32">
      <t>フグアイ</t>
    </rPh>
    <phoneticPr fontId="1"/>
  </si>
  <si>
    <t>近距離時のロックオン不具合</t>
    <rPh sb="0" eb="4">
      <t>キンキョリジ</t>
    </rPh>
    <rPh sb="10" eb="13">
      <t>フグアイ</t>
    </rPh>
    <phoneticPr fontId="1"/>
  </si>
  <si>
    <t>ポーズ中にマウスを動かしポーズを閉じるとマウスを動かした方に視点が瞬時に動いてしまう不具合</t>
    <rPh sb="3" eb="4">
      <t>チュウ</t>
    </rPh>
    <rPh sb="9" eb="10">
      <t>ウゴ</t>
    </rPh>
    <rPh sb="16" eb="17">
      <t>ト</t>
    </rPh>
    <rPh sb="24" eb="25">
      <t>ウゴ</t>
    </rPh>
    <rPh sb="28" eb="29">
      <t>ホウ</t>
    </rPh>
    <rPh sb="30" eb="32">
      <t>シテン</t>
    </rPh>
    <rPh sb="33" eb="35">
      <t>シュンジ</t>
    </rPh>
    <rPh sb="36" eb="37">
      <t>ウゴ</t>
    </rPh>
    <rPh sb="42" eb="45">
      <t>フグアイ</t>
    </rPh>
    <phoneticPr fontId="1"/>
  </si>
  <si>
    <t>タックル攻撃を行うと敵をすり抜けてしまう不具合</t>
    <rPh sb="4" eb="6">
      <t>コウゲキ</t>
    </rPh>
    <rPh sb="7" eb="8">
      <t>オコナ</t>
    </rPh>
    <rPh sb="10" eb="11">
      <t>テキ</t>
    </rPh>
    <rPh sb="14" eb="15">
      <t>ヌ</t>
    </rPh>
    <rPh sb="20" eb="23">
      <t>フグアイ</t>
    </rPh>
    <phoneticPr fontId="1"/>
  </si>
  <si>
    <t>遠距離攻撃で射線が通っていない状態で攻撃をしてくる不具合</t>
    <rPh sb="0" eb="5">
      <t>エンキョリコウゲキ</t>
    </rPh>
    <rPh sb="6" eb="8">
      <t>シャセン</t>
    </rPh>
    <rPh sb="9" eb="10">
      <t>トオ</t>
    </rPh>
    <rPh sb="15" eb="17">
      <t>ジョウタイ</t>
    </rPh>
    <rPh sb="18" eb="20">
      <t>コウゲキ</t>
    </rPh>
    <rPh sb="25" eb="28">
      <t>フグアイ</t>
    </rPh>
    <phoneticPr fontId="1"/>
  </si>
  <si>
    <t>プレイヤー</t>
    <phoneticPr fontId="1"/>
  </si>
  <si>
    <t>自動武器切り替え</t>
    <rPh sb="0" eb="5">
      <t>ジドウブキキ</t>
    </rPh>
    <rPh sb="6" eb="7">
      <t>カ</t>
    </rPh>
    <phoneticPr fontId="1"/>
  </si>
  <si>
    <t>タックル攻撃後のノックバック</t>
    <rPh sb="4" eb="7">
      <t>コウゲキゴ</t>
    </rPh>
    <phoneticPr fontId="1"/>
  </si>
  <si>
    <t>敵が湧く位置を各ウェーブで固定化し常に敵が何体いるというように設計する</t>
    <rPh sb="0" eb="1">
      <t>テキ</t>
    </rPh>
    <rPh sb="2" eb="3">
      <t>ワ</t>
    </rPh>
    <rPh sb="4" eb="6">
      <t>イチ</t>
    </rPh>
    <rPh sb="7" eb="8">
      <t>カク</t>
    </rPh>
    <rPh sb="13" eb="16">
      <t>コテイカ</t>
    </rPh>
    <rPh sb="17" eb="18">
      <t>ツネ</t>
    </rPh>
    <rPh sb="19" eb="20">
      <t>テキ</t>
    </rPh>
    <rPh sb="21" eb="23">
      <t>ナンタイ</t>
    </rPh>
    <rPh sb="31" eb="33">
      <t>セッケイ</t>
    </rPh>
    <phoneticPr fontId="1"/>
  </si>
  <si>
    <t>ショットガンで倒した際吹き飛んで死なないことがある不具合</t>
    <rPh sb="7" eb="8">
      <t>タオ</t>
    </rPh>
    <rPh sb="10" eb="11">
      <t>サイ</t>
    </rPh>
    <rPh sb="11" eb="12">
      <t>フ</t>
    </rPh>
    <rPh sb="13" eb="14">
      <t>ト</t>
    </rPh>
    <rPh sb="16" eb="17">
      <t>シ</t>
    </rPh>
    <rPh sb="25" eb="28">
      <t>フグアイ</t>
    </rPh>
    <phoneticPr fontId="1"/>
  </si>
  <si>
    <t>デバックメニューのウィンドウモードをオンするとマウスカーソルが消えてしまう不具合</t>
    <rPh sb="31" eb="32">
      <t>キ</t>
    </rPh>
    <rPh sb="37" eb="40">
      <t>フグアイ</t>
    </rPh>
    <phoneticPr fontId="1"/>
  </si>
  <si>
    <t>ダッシュジャンプタックルを行うと敵をすり抜ける不具合</t>
    <rPh sb="13" eb="14">
      <t>オコナ</t>
    </rPh>
    <rPh sb="16" eb="17">
      <t>テキ</t>
    </rPh>
    <rPh sb="20" eb="21">
      <t>ヌ</t>
    </rPh>
    <rPh sb="23" eb="26">
      <t>フグアイ</t>
    </rPh>
    <phoneticPr fontId="1"/>
  </si>
  <si>
    <t>タックル攻撃を行い敵に当たったら止まるだけではなく少し後ろにノックバックする</t>
    <rPh sb="4" eb="6">
      <t>コウゲキ</t>
    </rPh>
    <rPh sb="7" eb="8">
      <t>オコナ</t>
    </rPh>
    <rPh sb="9" eb="10">
      <t>テキ</t>
    </rPh>
    <rPh sb="11" eb="12">
      <t>ア</t>
    </rPh>
    <rPh sb="16" eb="17">
      <t>ト</t>
    </rPh>
    <rPh sb="25" eb="26">
      <t>スコ</t>
    </rPh>
    <rPh sb="27" eb="28">
      <t>ウシ</t>
    </rPh>
    <phoneticPr fontId="1"/>
  </si>
  <si>
    <t>EnemyNormalのショットガン攻撃を受けた際、Hitアニメーションを使用する</t>
    <rPh sb="18" eb="20">
      <t>コウゲキ</t>
    </rPh>
    <rPh sb="21" eb="22">
      <t>ウ</t>
    </rPh>
    <rPh sb="24" eb="25">
      <t>サイ</t>
    </rPh>
    <rPh sb="37" eb="39">
      <t>シヨウ</t>
    </rPh>
    <phoneticPr fontId="1"/>
  </si>
  <si>
    <t>タイトル画面でデバックメニューを開いてマウス左クリックを押すとシーン遷移し進んでしまう不具合</t>
    <rPh sb="4" eb="6">
      <t>ガメン</t>
    </rPh>
    <rPh sb="16" eb="17">
      <t>ヒラ</t>
    </rPh>
    <rPh sb="22" eb="23">
      <t>ヒダリ</t>
    </rPh>
    <rPh sb="28" eb="29">
      <t>オ</t>
    </rPh>
    <rPh sb="34" eb="36">
      <t>センイ</t>
    </rPh>
    <rPh sb="37" eb="38">
      <t>スス</t>
    </rPh>
    <rPh sb="43" eb="46">
      <t>フグアイ</t>
    </rPh>
    <phoneticPr fontId="1"/>
  </si>
  <si>
    <t>アイテム光らす</t>
    <rPh sb="4" eb="5">
      <t>ヒカ</t>
    </rPh>
    <phoneticPr fontId="1"/>
  </si>
  <si>
    <t>性能は同じで見た目のみ違うモデルの実装</t>
    <rPh sb="0" eb="2">
      <t>セイノウ</t>
    </rPh>
    <rPh sb="3" eb="4">
      <t>オナ</t>
    </rPh>
    <rPh sb="6" eb="7">
      <t>ミ</t>
    </rPh>
    <rPh sb="8" eb="9">
      <t>メ</t>
    </rPh>
    <rPh sb="11" eb="12">
      <t>チガ</t>
    </rPh>
    <rPh sb="17" eb="19">
      <t>ジッソウ</t>
    </rPh>
    <phoneticPr fontId="1"/>
  </si>
  <si>
    <t>テクスチャを変えたモデルの実装</t>
    <rPh sb="6" eb="7">
      <t>カ</t>
    </rPh>
    <rPh sb="13" eb="15">
      <t>ジッソウ</t>
    </rPh>
    <phoneticPr fontId="1"/>
  </si>
  <si>
    <t>敵AIとしてトークンシステムの実装</t>
    <rPh sb="0" eb="1">
      <t>テキ</t>
    </rPh>
    <rPh sb="15" eb="17">
      <t>ジッソウ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</si>
</sst>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游ゴシック"/>
      <family val="2"/>
      <charset val="128"/>
      <scheme val="minor"/>
    </font>
    <font>
      <sz val="6"/>
      <name val="游ゴシック"/>
      <family val="2"/>
      <charset val="128"/>
      <scheme val="minor"/>
    </font>
    <font>
      <b/>
      <sz val="11"/>
      <color theme="0"/>
      <name val="游ゴシック"/>
      <family val="3"/>
      <charset val="128"/>
      <scheme val="minor"/>
    </font>
    <font>
      <sz val="11"/>
      <color rgb="FF000000"/>
      <name val="Yu Gothic"/>
      <family val="3"/>
      <charset val="128"/>
    </font>
    <font>
      <b/>
      <sz val="11"/>
      <color theme="0"/>
      <name val="游ゴシック"/>
      <family val="3"/>
      <charset val="128"/>
    </font>
    <font>
      <sz val="12"/>
      <color rgb="FF000000"/>
      <name val="Yu Gothic"/>
      <family val="3"/>
      <charset val="128"/>
    </font>
    <font>
      <b/>
      <sz val="11"/>
      <color theme="0"/>
      <name val="游ゴシック"/>
      <family val="2"/>
      <charset val="128"/>
      <scheme val="minor"/>
    </font>
    <font>
      <sz val="11"/>
      <color rgb="FF000000"/>
      <name val="游ゴシック"/>
      <family val="3"/>
      <charset val="128"/>
      <scheme val="minor"/>
    </font>
    <font>
      <b/>
      <sz val="11"/>
      <color rgb="FFFFFFFF"/>
      <name val="游ゴシック"/>
      <family val="3"/>
      <charset val="128"/>
      <scheme val="minor"/>
    </font>
    <font>
      <b/>
      <sz val="11"/>
      <color theme="1"/>
      <name val="游ゴシック"/>
      <family val="3"/>
      <charset val="128"/>
      <scheme val="minor"/>
    </font>
    <font>
      <b/>
      <sz val="11"/>
      <color theme="0"/>
      <name val="Yu Gothic"/>
      <family val="3"/>
      <charset val="128"/>
    </font>
  </fonts>
  <fills count="12">
    <fill>
      <patternFill patternType="none"/>
    </fill>
    <fill>
      <patternFill patternType="gray125"/>
    </fill>
    <fill>
      <patternFill patternType="solid">
        <fgColor rgb="FF0070C0"/>
        <bgColor indexed="64"/>
      </patternFill>
    </fill>
    <fill>
      <patternFill patternType="solid">
        <fgColor rgb="FF92D050"/>
        <bgColor rgb="FF000000"/>
      </patternFill>
    </fill>
    <fill>
      <patternFill patternType="solid">
        <fgColor rgb="FFFFC000"/>
        <bgColor rgb="FF000000"/>
      </patternFill>
    </fill>
    <fill>
      <patternFill patternType="solid">
        <fgColor rgb="FF00B0F0"/>
        <bgColor rgb="FF000000"/>
      </patternFill>
    </fill>
    <fill>
      <patternFill patternType="solid">
        <fgColor rgb="FFF4B084"/>
        <bgColor rgb="FF000000"/>
      </patternFill>
    </fill>
    <fill>
      <patternFill patternType="solid">
        <fgColor rgb="FFD0CECE"/>
        <bgColor rgb="FF000000"/>
      </patternFill>
    </fill>
    <fill>
      <patternFill patternType="solid">
        <fgColor rgb="FF0070C0"/>
        <bgColor rgb="FF000000"/>
      </patternFill>
    </fill>
    <fill>
      <patternFill patternType="solid">
        <fgColor rgb="FFFFFF00"/>
        <bgColor indexed="64"/>
      </patternFill>
    </fill>
    <fill>
      <patternFill patternType="solid">
        <fgColor rgb="FFFFFFFF"/>
        <bgColor rgb="FF000000"/>
      </patternFill>
    </fill>
    <fill>
      <patternFill patternType="solid">
        <fgColor theme="0"/>
        <bgColor rgb="FF000000"/>
      </patternFill>
    </fill>
  </fills>
  <borders count="20">
    <border>
      <left/>
      <right/>
      <top/>
      <bottom/>
      <diagonal/>
    </border>
    <border>
      <left/>
      <right style="thin">
        <color indexed="64"/>
      </right>
      <top style="thin">
        <color indexed="64"/>
      </top>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s>
  <cellStyleXfs count="1">
    <xf numFmtId="0" fontId="0" fillId="0" borderId="0">
      <alignment vertical="center"/>
    </xf>
  </cellStyleXfs>
  <cellXfs count="56">
    <xf numFmtId="0" fontId="0" fillId="0" borderId="0" xfId="0">
      <alignment vertical="center"/>
    </xf>
    <xf numFmtId="0" fontId="0" fillId="0" borderId="4" xfId="0" applyBorder="1">
      <alignment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0" borderId="0" xfId="0" applyAlignment="1">
      <alignment horizontal="left" vertical="center"/>
    </xf>
    <xf numFmtId="0" fontId="0" fillId="0" borderId="7" xfId="0" applyBorder="1">
      <alignment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2" fillId="2" borderId="7" xfId="0" applyFont="1" applyFill="1" applyBorder="1" applyAlignment="1">
      <alignment horizontal="center" vertical="center"/>
    </xf>
    <xf numFmtId="0" fontId="3" fillId="0" borderId="0" xfId="0" applyFont="1">
      <alignment vertical="center"/>
    </xf>
    <xf numFmtId="0" fontId="3" fillId="0" borderId="0" xfId="0" applyFont="1" applyAlignment="1">
      <alignment horizontal="center" vertical="center"/>
    </xf>
    <xf numFmtId="0" fontId="5" fillId="3" borderId="10" xfId="0" applyFont="1" applyFill="1" applyBorder="1">
      <alignment vertical="center"/>
    </xf>
    <xf numFmtId="0" fontId="5" fillId="4" borderId="9" xfId="0" applyFont="1" applyFill="1" applyBorder="1">
      <alignment vertical="center"/>
    </xf>
    <xf numFmtId="0" fontId="5" fillId="5" borderId="9" xfId="0" applyFont="1" applyFill="1" applyBorder="1">
      <alignment vertical="center"/>
    </xf>
    <xf numFmtId="0" fontId="5" fillId="6" borderId="9" xfId="0" applyFont="1" applyFill="1" applyBorder="1">
      <alignment vertical="center"/>
    </xf>
    <xf numFmtId="0" fontId="5" fillId="7" borderId="9" xfId="0" applyFont="1" applyFill="1" applyBorder="1">
      <alignment vertical="center"/>
    </xf>
    <xf numFmtId="0" fontId="6" fillId="2" borderId="10" xfId="0" applyFont="1" applyFill="1" applyBorder="1" applyAlignment="1">
      <alignment horizontal="center" vertical="center"/>
    </xf>
    <xf numFmtId="0" fontId="7" fillId="0" borderId="0" xfId="0" applyFont="1">
      <alignment vertical="center"/>
    </xf>
    <xf numFmtId="0" fontId="8" fillId="8" borderId="1" xfId="0" applyFont="1" applyFill="1" applyBorder="1" applyAlignment="1">
      <alignment horizontal="center" vertical="top"/>
    </xf>
    <xf numFmtId="0" fontId="7" fillId="0" borderId="0" xfId="0" applyFont="1" applyAlignment="1">
      <alignment horizontal="center" vertical="center"/>
    </xf>
    <xf numFmtId="0" fontId="4" fillId="2" borderId="6" xfId="0" applyFont="1" applyFill="1" applyBorder="1" applyAlignment="1">
      <alignment horizontal="center" vertical="top"/>
    </xf>
    <xf numFmtId="0" fontId="7" fillId="0" borderId="3" xfId="0" applyFont="1" applyBorder="1" applyAlignment="1">
      <alignment horizontal="center" vertical="center"/>
    </xf>
    <xf numFmtId="0" fontId="0" fillId="0" borderId="11" xfId="0" applyBorder="1">
      <alignment vertical="center"/>
    </xf>
    <xf numFmtId="56" fontId="3" fillId="0" borderId="0" xfId="0" applyNumberFormat="1" applyFont="1" applyAlignment="1">
      <alignment horizontal="center" vertical="center"/>
    </xf>
    <xf numFmtId="0" fontId="4" fillId="2" borderId="1" xfId="0" applyFont="1" applyFill="1" applyBorder="1" applyAlignment="1">
      <alignment horizontal="center" vertical="top"/>
    </xf>
    <xf numFmtId="0" fontId="0" fillId="0" borderId="3" xfId="0" applyBorder="1" applyAlignment="1">
      <alignment horizontal="center" vertical="center"/>
    </xf>
    <xf numFmtId="0" fontId="9" fillId="9" borderId="0" xfId="0" applyFont="1" applyFill="1">
      <alignment vertical="center"/>
    </xf>
    <xf numFmtId="0" fontId="3" fillId="10" borderId="7" xfId="0" applyFont="1" applyFill="1" applyBorder="1" applyAlignment="1"/>
    <xf numFmtId="0" fontId="3" fillId="0" borderId="7" xfId="0" applyFont="1" applyBorder="1" applyAlignment="1"/>
    <xf numFmtId="0" fontId="10" fillId="8" borderId="7" xfId="0" applyFont="1" applyFill="1" applyBorder="1" applyAlignment="1">
      <alignment horizontal="center"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0" borderId="17" xfId="0" applyBorder="1" applyAlignment="1">
      <alignment horizontal="left" vertical="center"/>
    </xf>
    <xf numFmtId="0" fontId="0" fillId="0" borderId="18" xfId="0" applyBorder="1" applyAlignment="1">
      <alignment horizontal="left" vertical="center"/>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7" xfId="0" applyBorder="1" applyAlignment="1"/>
    <xf numFmtId="0" fontId="0" fillId="0" borderId="16" xfId="0" applyBorder="1" applyAlignment="1">
      <alignment horizontal="left" vertical="center"/>
    </xf>
    <xf numFmtId="0" fontId="0" fillId="0" borderId="17" xfId="0" applyBorder="1">
      <alignment vertical="center"/>
    </xf>
    <xf numFmtId="0" fontId="0" fillId="0" borderId="18" xfId="0" applyBorder="1">
      <alignment vertical="center"/>
    </xf>
    <xf numFmtId="0" fontId="0" fillId="0" borderId="18" xfId="0" applyBorder="1" applyAlignment="1">
      <alignment vertical="center" wrapText="1"/>
    </xf>
    <xf numFmtId="0" fontId="0" fillId="0" borderId="18" xfId="0" applyBorder="1" applyAlignment="1">
      <alignment horizontal="left" vertical="center" wrapText="1"/>
    </xf>
    <xf numFmtId="0" fontId="0" fillId="0" borderId="0" xfId="0" applyAlignment="1"/>
    <xf numFmtId="0" fontId="0" fillId="0" borderId="19" xfId="0" applyBorder="1">
      <alignment vertical="center"/>
    </xf>
    <xf numFmtId="0" fontId="0" fillId="0" borderId="12" xfId="0" applyBorder="1">
      <alignment vertical="center"/>
    </xf>
    <xf numFmtId="0" fontId="0" fillId="0" borderId="12" xfId="0" applyBorder="1" applyAlignment="1">
      <alignment horizontal="center" vertical="center"/>
    </xf>
    <xf numFmtId="0" fontId="0" fillId="0" borderId="12" xfId="0" applyBorder="1" applyAlignment="1">
      <alignment horizontal="left" vertical="center" wrapText="1"/>
    </xf>
    <xf numFmtId="0" fontId="0" fillId="0" borderId="12" xfId="0" applyBorder="1" applyAlignment="1">
      <alignment horizontal="left" vertical="center"/>
    </xf>
    <xf numFmtId="0" fontId="5" fillId="11" borderId="0" xfId="0" applyFont="1" applyFill="1">
      <alignment vertical="center"/>
    </xf>
    <xf numFmtId="0" fontId="0" fillId="0" borderId="0" xfId="0" applyBorder="1" applyAlignment="1">
      <alignment horizontal="center" vertical="center"/>
    </xf>
    <xf numFmtId="0" fontId="0" fillId="0" borderId="0" xfId="0" applyBorder="1" applyAlignment="1">
      <alignment horizontal="left" vertical="center"/>
    </xf>
  </cellXfs>
  <cellStyles count="1">
    <cellStyle name="標準" xfId="0" builtinId="0"/>
  </cellStyles>
  <dxfs count="0"/>
  <tableStyles count="0" defaultTableStyle="TableStyleMedium2" defaultPivotStyle="PivotStyleLight16"/>
  <colors>
    <mruColors>
      <color rgb="FFFF4A4A"/>
      <color rgb="FFFA2828"/>
      <color rgb="FFE87E4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104"/>
  <sheetViews>
    <sheetView tabSelected="1" zoomScaleNormal="100" workbookViewId="0">
      <pane ySplit="2" topLeftCell="A23" activePane="bottomLeft" state="frozen"/>
      <selection pane="bottomLeft" activeCell="C31" sqref="C31"/>
    </sheetView>
  </sheetViews>
  <sheetFormatPr defaultRowHeight="15.75" customHeight="1"/>
  <cols>
    <col min="2" max="2" width="27.5" bestFit="1" customWidth="1"/>
    <col min="3" max="3" width="31.625" style="39" customWidth="1"/>
    <col min="4" max="4" width="12.875" style="41" customWidth="1"/>
    <col min="5" max="5" width="11.25" style="39" customWidth="1"/>
    <col min="6" max="6" width="13.25" style="39" customWidth="1"/>
    <col min="7" max="7" width="10" style="39" customWidth="1"/>
    <col min="8" max="8" width="78" style="39" bestFit="1" customWidth="1"/>
    <col min="9" max="9" width="11.125" style="6" customWidth="1"/>
  </cols>
  <sheetData>
    <row r="1" spans="2:8" ht="15.75" customHeight="1">
      <c r="B1" s="29" t="s">
        <v>25</v>
      </c>
      <c r="C1" s="4"/>
      <c r="D1" s="47"/>
      <c r="E1" s="4"/>
      <c r="F1" s="4"/>
      <c r="G1" s="4"/>
      <c r="H1" s="4"/>
    </row>
    <row r="2" spans="2:8" ht="18.75">
      <c r="B2" s="11" t="s">
        <v>0</v>
      </c>
      <c r="C2" s="11" t="s">
        <v>1</v>
      </c>
      <c r="D2" s="11" t="s">
        <v>2</v>
      </c>
      <c r="E2" s="11" t="s">
        <v>3</v>
      </c>
      <c r="F2" s="11" t="s">
        <v>4</v>
      </c>
      <c r="G2" s="11" t="s">
        <v>5</v>
      </c>
      <c r="H2" s="11" t="s">
        <v>6</v>
      </c>
    </row>
    <row r="3" spans="2:8" ht="18.75">
      <c r="B3" s="34" t="s">
        <v>38</v>
      </c>
      <c r="C3" s="43" t="s">
        <v>39</v>
      </c>
      <c r="D3" s="39">
        <v>1</v>
      </c>
      <c r="E3" s="39" t="s">
        <v>8</v>
      </c>
      <c r="G3" s="39" t="s">
        <v>11</v>
      </c>
      <c r="H3" s="36" t="s">
        <v>73</v>
      </c>
    </row>
    <row r="4" spans="2:8" ht="18.75">
      <c r="B4" s="34" t="s">
        <v>38</v>
      </c>
      <c r="C4" s="36" t="s">
        <v>40</v>
      </c>
      <c r="D4" s="39">
        <v>2</v>
      </c>
      <c r="E4" s="39" t="s">
        <v>13</v>
      </c>
      <c r="G4" s="39" t="s">
        <v>9</v>
      </c>
      <c r="H4" s="36"/>
    </row>
    <row r="5" spans="2:8" ht="18.75">
      <c r="B5" s="34" t="s">
        <v>7</v>
      </c>
      <c r="C5" s="36" t="s">
        <v>47</v>
      </c>
      <c r="D5" s="39">
        <v>2</v>
      </c>
      <c r="E5" s="39" t="s">
        <v>13</v>
      </c>
      <c r="G5" s="39" t="s">
        <v>9</v>
      </c>
      <c r="H5" s="36" t="s">
        <v>49</v>
      </c>
    </row>
    <row r="6" spans="2:8" ht="18.75">
      <c r="B6" s="34" t="s">
        <v>83</v>
      </c>
      <c r="C6" s="36" t="s">
        <v>84</v>
      </c>
      <c r="D6" s="39">
        <v>0.5</v>
      </c>
      <c r="E6" s="39" t="s">
        <v>8</v>
      </c>
      <c r="G6" s="39" t="s">
        <v>9</v>
      </c>
      <c r="H6" s="36"/>
    </row>
    <row r="7" spans="2:8" ht="18.75">
      <c r="B7" s="34" t="s">
        <v>83</v>
      </c>
      <c r="C7" s="36" t="s">
        <v>85</v>
      </c>
      <c r="D7" s="39">
        <v>1</v>
      </c>
      <c r="E7" s="39" t="s">
        <v>8</v>
      </c>
      <c r="G7" s="39" t="s">
        <v>9</v>
      </c>
      <c r="H7" s="36"/>
    </row>
    <row r="8" spans="2:8" ht="38.25" thickBot="1">
      <c r="B8" s="35" t="s">
        <v>38</v>
      </c>
      <c r="C8" s="37" t="s">
        <v>52</v>
      </c>
      <c r="D8" s="40">
        <v>3</v>
      </c>
      <c r="E8" s="40" t="s">
        <v>8</v>
      </c>
      <c r="F8" s="40"/>
      <c r="G8" s="40" t="s">
        <v>9</v>
      </c>
      <c r="H8" s="45" t="s">
        <v>53</v>
      </c>
    </row>
    <row r="9" spans="2:8" ht="18.75">
      <c r="B9" s="33" t="s">
        <v>41</v>
      </c>
      <c r="C9" s="42" t="s">
        <v>44</v>
      </c>
      <c r="D9" s="38">
        <v>1</v>
      </c>
      <c r="E9" s="38" t="s">
        <v>13</v>
      </c>
      <c r="F9" s="38"/>
      <c r="G9" s="39" t="s">
        <v>9</v>
      </c>
      <c r="H9" s="42"/>
    </row>
    <row r="10" spans="2:8" ht="18.75">
      <c r="B10" s="34" t="s">
        <v>41</v>
      </c>
      <c r="C10" s="36" t="s">
        <v>46</v>
      </c>
      <c r="D10" s="39">
        <v>0.5</v>
      </c>
      <c r="E10" s="39" t="s">
        <v>8</v>
      </c>
      <c r="G10" s="39" t="s">
        <v>9</v>
      </c>
      <c r="H10" s="36"/>
    </row>
    <row r="11" spans="2:8" ht="18.75">
      <c r="B11" s="34" t="s">
        <v>41</v>
      </c>
      <c r="C11" s="43" t="s">
        <v>48</v>
      </c>
      <c r="D11" s="39">
        <v>0.5</v>
      </c>
      <c r="E11" s="39" t="s">
        <v>13</v>
      </c>
      <c r="G11" s="39" t="s">
        <v>9</v>
      </c>
      <c r="H11" s="36" t="s">
        <v>61</v>
      </c>
    </row>
    <row r="12" spans="2:8" ht="18.75">
      <c r="B12" s="34" t="s">
        <v>41</v>
      </c>
      <c r="C12" s="43" t="s">
        <v>54</v>
      </c>
      <c r="D12" s="39">
        <v>1</v>
      </c>
      <c r="E12" s="39" t="s">
        <v>8</v>
      </c>
      <c r="G12" s="39" t="s">
        <v>9</v>
      </c>
      <c r="H12" s="43" t="s">
        <v>56</v>
      </c>
    </row>
    <row r="13" spans="2:8" ht="18.75">
      <c r="B13" s="34" t="s">
        <v>41</v>
      </c>
      <c r="C13" s="43" t="s">
        <v>58</v>
      </c>
      <c r="D13" s="39">
        <v>1</v>
      </c>
      <c r="E13" s="39" t="s">
        <v>8</v>
      </c>
      <c r="G13" s="39" t="s">
        <v>9</v>
      </c>
      <c r="H13" s="43" t="s">
        <v>59</v>
      </c>
    </row>
    <row r="14" spans="2:8" ht="18.75">
      <c r="B14" s="34" t="s">
        <v>41</v>
      </c>
      <c r="C14" s="43" t="s">
        <v>63</v>
      </c>
      <c r="D14" s="39">
        <v>1</v>
      </c>
      <c r="E14" s="39" t="s">
        <v>8</v>
      </c>
      <c r="G14" s="39" t="s">
        <v>9</v>
      </c>
      <c r="H14" s="43" t="s">
        <v>60</v>
      </c>
    </row>
    <row r="15" spans="2:8" ht="18.75">
      <c r="B15" s="34" t="s">
        <v>71</v>
      </c>
      <c r="C15" s="43" t="s">
        <v>72</v>
      </c>
      <c r="D15" s="39">
        <v>1</v>
      </c>
      <c r="E15" s="39" t="s">
        <v>8</v>
      </c>
      <c r="G15" s="39" t="s">
        <v>9</v>
      </c>
      <c r="H15" s="43"/>
    </row>
    <row r="16" spans="2:8" ht="38.25" thickBot="1">
      <c r="B16" s="35" t="s">
        <v>41</v>
      </c>
      <c r="C16" s="44" t="s">
        <v>55</v>
      </c>
      <c r="D16" s="40">
        <v>2</v>
      </c>
      <c r="E16" s="40" t="s">
        <v>8</v>
      </c>
      <c r="F16" s="40"/>
      <c r="G16" s="39" t="s">
        <v>9</v>
      </c>
      <c r="H16" s="46" t="s">
        <v>57</v>
      </c>
    </row>
    <row r="17" spans="2:9" ht="18.75">
      <c r="B17" s="33" t="s">
        <v>43</v>
      </c>
      <c r="C17" s="42" t="s">
        <v>45</v>
      </c>
      <c r="D17" s="38">
        <v>1</v>
      </c>
      <c r="E17" s="38" t="s">
        <v>13</v>
      </c>
      <c r="F17" s="38"/>
      <c r="G17" s="38" t="s">
        <v>9</v>
      </c>
      <c r="H17" s="42"/>
    </row>
    <row r="18" spans="2:9" ht="18.75">
      <c r="B18" s="34" t="s">
        <v>42</v>
      </c>
      <c r="C18" s="36" t="s">
        <v>46</v>
      </c>
      <c r="D18" s="39">
        <v>0.5</v>
      </c>
      <c r="E18" s="39" t="s">
        <v>13</v>
      </c>
      <c r="G18" s="39" t="s">
        <v>9</v>
      </c>
      <c r="H18" s="36"/>
    </row>
    <row r="19" spans="2:9" ht="18.75">
      <c r="B19" s="34" t="s">
        <v>42</v>
      </c>
      <c r="C19" s="43" t="s">
        <v>48</v>
      </c>
      <c r="D19" s="39">
        <v>0.5</v>
      </c>
      <c r="E19" s="39" t="s">
        <v>13</v>
      </c>
      <c r="G19" s="39" t="s">
        <v>9</v>
      </c>
      <c r="H19" s="36" t="s">
        <v>62</v>
      </c>
    </row>
    <row r="20" spans="2:9" ht="19.5" thickBot="1">
      <c r="B20" s="35"/>
      <c r="C20" s="44"/>
      <c r="D20" s="40"/>
      <c r="E20" s="40"/>
      <c r="F20" s="40"/>
      <c r="G20" s="40" t="s">
        <v>9</v>
      </c>
      <c r="H20" s="37"/>
    </row>
    <row r="21" spans="2:9" ht="19.5" thickBot="1">
      <c r="B21" s="48" t="s">
        <v>50</v>
      </c>
      <c r="C21" s="49" t="s">
        <v>51</v>
      </c>
      <c r="D21" s="50">
        <v>1</v>
      </c>
      <c r="E21" s="50" t="s">
        <v>8</v>
      </c>
      <c r="F21" s="50"/>
      <c r="G21" s="50" t="s">
        <v>9</v>
      </c>
      <c r="H21" s="51"/>
    </row>
    <row r="22" spans="2:9" ht="19.5" thickBot="1">
      <c r="B22" s="48" t="s">
        <v>74</v>
      </c>
      <c r="C22" s="49" t="s">
        <v>75</v>
      </c>
      <c r="D22" s="50">
        <v>2</v>
      </c>
      <c r="E22" s="50" t="s">
        <v>13</v>
      </c>
      <c r="F22" s="50"/>
      <c r="G22" s="50" t="s">
        <v>9</v>
      </c>
      <c r="H22" s="51" t="s">
        <v>76</v>
      </c>
    </row>
    <row r="23" spans="2:9" ht="19.5" thickBot="1">
      <c r="B23" s="48" t="s">
        <v>64</v>
      </c>
      <c r="C23" s="49"/>
      <c r="D23" s="50">
        <v>0</v>
      </c>
      <c r="E23" s="50"/>
      <c r="F23" s="50"/>
      <c r="G23" s="50" t="s">
        <v>9</v>
      </c>
      <c r="H23" s="52"/>
    </row>
    <row r="24" spans="2:9" ht="19.5" thickBot="1">
      <c r="B24" s="49" t="s">
        <v>65</v>
      </c>
      <c r="C24" s="49"/>
      <c r="D24" s="50">
        <v>0</v>
      </c>
      <c r="E24" s="50"/>
      <c r="F24" s="50"/>
      <c r="G24" s="50" t="s">
        <v>9</v>
      </c>
      <c r="H24" s="52"/>
    </row>
    <row r="25" spans="2:9" ht="18.75">
      <c r="B25" t="s">
        <v>78</v>
      </c>
      <c r="C25"/>
      <c r="D25" s="4"/>
      <c r="E25" s="4"/>
      <c r="F25" s="4"/>
      <c r="G25" s="4"/>
      <c r="H25" s="6"/>
    </row>
    <row r="26" spans="2:9" ht="18.75">
      <c r="B26" t="s">
        <v>82</v>
      </c>
      <c r="C26"/>
      <c r="D26" s="4"/>
      <c r="E26" s="4"/>
      <c r="F26" s="4"/>
      <c r="G26" s="4"/>
      <c r="H26" s="6"/>
    </row>
    <row r="27" spans="2:9" ht="18.75">
      <c r="B27" t="s">
        <v>81</v>
      </c>
      <c r="C27"/>
      <c r="D27" s="4"/>
      <c r="E27" s="4"/>
      <c r="F27" s="4"/>
      <c r="G27" s="54"/>
      <c r="H27" s="54"/>
      <c r="I27" s="55"/>
    </row>
    <row r="28" spans="2:9" ht="18.75">
      <c r="B28" t="s">
        <v>80</v>
      </c>
      <c r="C28"/>
      <c r="D28" s="4"/>
      <c r="E28" s="4"/>
      <c r="F28" s="4"/>
      <c r="G28" s="54"/>
      <c r="H28" s="54"/>
      <c r="I28" s="55"/>
    </row>
    <row r="29" spans="2:9" ht="18.75">
      <c r="B29" t="s">
        <v>79</v>
      </c>
      <c r="C29"/>
      <c r="D29" s="4"/>
      <c r="E29" s="4"/>
      <c r="F29" s="4"/>
      <c r="G29" s="54"/>
      <c r="H29" s="54"/>
      <c r="I29" s="55"/>
    </row>
    <row r="30" spans="2:9" ht="18.75">
      <c r="B30" t="s">
        <v>88</v>
      </c>
      <c r="C30"/>
      <c r="D30" s="4"/>
      <c r="E30" s="4"/>
      <c r="F30" s="4"/>
      <c r="G30" s="54"/>
      <c r="H30" s="54"/>
      <c r="I30" s="55"/>
    </row>
    <row r="31" spans="2:9" ht="18.75">
      <c r="B31" t="s">
        <v>89</v>
      </c>
      <c r="C31"/>
      <c r="D31" s="4"/>
      <c r="E31" s="4"/>
      <c r="F31" s="4"/>
      <c r="G31" s="54"/>
      <c r="H31" s="54"/>
      <c r="I31" s="55"/>
    </row>
    <row r="32" spans="2:9" ht="18.75">
      <c r="B32" t="s">
        <v>90</v>
      </c>
      <c r="C32"/>
      <c r="D32" s="4"/>
      <c r="E32" s="4"/>
      <c r="F32" s="4"/>
      <c r="G32" s="54"/>
      <c r="H32" s="54"/>
      <c r="I32" s="55"/>
    </row>
    <row r="33" spans="2:9" ht="18.75">
      <c r="B33" t="s">
        <v>92</v>
      </c>
      <c r="C33"/>
      <c r="D33" s="4"/>
      <c r="E33" s="4"/>
      <c r="F33" s="4"/>
      <c r="G33" s="54"/>
      <c r="H33" s="54"/>
      <c r="I33" s="55"/>
    </row>
    <row r="34" spans="2:9" ht="18.75">
      <c r="B34" t="s">
        <v>91</v>
      </c>
      <c r="C34"/>
      <c r="D34" s="4"/>
      <c r="E34" s="4"/>
      <c r="F34" s="4"/>
      <c r="G34" s="54"/>
      <c r="H34" s="54"/>
      <c r="I34" s="55"/>
    </row>
    <row r="35" spans="2:9" ht="18.75">
      <c r="B35" t="s">
        <v>87</v>
      </c>
      <c r="C35"/>
      <c r="D35" s="4"/>
      <c r="E35" s="4"/>
      <c r="F35" s="4"/>
      <c r="G35" s="54"/>
      <c r="H35" s="54"/>
      <c r="I35" s="55"/>
    </row>
    <row r="36" spans="2:9" ht="18.75">
      <c r="B36" t="s">
        <v>93</v>
      </c>
      <c r="C36"/>
      <c r="D36" s="4"/>
      <c r="E36" s="4"/>
      <c r="F36" s="4"/>
      <c r="G36" s="54"/>
      <c r="H36" s="55"/>
      <c r="I36" s="55"/>
    </row>
    <row r="37" spans="2:9" ht="18.75">
      <c r="B37" t="s">
        <v>94</v>
      </c>
      <c r="C37"/>
      <c r="D37" s="4"/>
      <c r="E37" s="4"/>
      <c r="F37" s="4"/>
      <c r="G37" s="54"/>
      <c r="H37" s="55"/>
      <c r="I37" s="55"/>
    </row>
    <row r="38" spans="2:9" ht="18.75">
      <c r="B38" t="s">
        <v>95</v>
      </c>
      <c r="C38"/>
      <c r="D38" s="4"/>
      <c r="E38" s="4"/>
      <c r="F38" s="4"/>
      <c r="G38" s="4"/>
      <c r="H38" s="6"/>
    </row>
    <row r="39" spans="2:9" ht="18.75">
      <c r="B39" t="s">
        <v>96</v>
      </c>
      <c r="C39"/>
      <c r="D39" s="4"/>
      <c r="E39" s="4"/>
      <c r="F39" s="4"/>
      <c r="G39" s="4"/>
      <c r="H39" s="6"/>
    </row>
    <row r="40" spans="2:9" ht="18.75">
      <c r="B40" t="s">
        <v>86</v>
      </c>
      <c r="C40"/>
      <c r="D40" s="4"/>
      <c r="E40" s="4"/>
      <c r="F40" s="4"/>
      <c r="G40" s="4"/>
      <c r="H40" s="6"/>
    </row>
    <row r="41" spans="2:9" ht="18.75">
      <c r="C41"/>
      <c r="D41" s="4"/>
      <c r="E41" s="4"/>
      <c r="F41" s="4"/>
      <c r="G41" s="4"/>
      <c r="H41" s="6"/>
    </row>
    <row r="42" spans="2:9" ht="18.75">
      <c r="C42"/>
      <c r="D42" s="4"/>
      <c r="E42" s="4"/>
      <c r="F42" s="4"/>
      <c r="G42" s="4"/>
      <c r="H42" s="6"/>
    </row>
    <row r="43" spans="2:9" ht="18.75">
      <c r="C43"/>
      <c r="D43" s="4"/>
      <c r="E43" s="4"/>
      <c r="F43" s="4"/>
      <c r="G43" s="4"/>
      <c r="H43" s="6"/>
    </row>
    <row r="44" spans="2:9" ht="18.75">
      <c r="C44"/>
      <c r="D44" s="4"/>
      <c r="E44" s="4"/>
      <c r="F44" s="4"/>
      <c r="G44" s="4"/>
      <c r="H44" s="6"/>
    </row>
    <row r="45" spans="2:9" ht="18.75">
      <c r="C45"/>
      <c r="D45" s="4"/>
      <c r="E45" s="4"/>
      <c r="F45" s="4"/>
      <c r="G45" s="4"/>
      <c r="H45" s="6"/>
    </row>
    <row r="46" spans="2:9" ht="18.75">
      <c r="C46"/>
      <c r="D46" s="4"/>
      <c r="E46" s="4"/>
      <c r="F46" s="4"/>
      <c r="G46" s="4"/>
      <c r="H46" s="6"/>
    </row>
    <row r="47" spans="2:9" ht="18.75">
      <c r="C47"/>
      <c r="D47" s="4"/>
      <c r="E47" s="4"/>
      <c r="F47" s="4"/>
      <c r="G47" s="4"/>
      <c r="H47" s="6"/>
    </row>
    <row r="48" spans="2:9" ht="18.75">
      <c r="C48"/>
      <c r="D48" s="4"/>
      <c r="E48" s="4"/>
      <c r="F48" s="4"/>
      <c r="G48" s="4"/>
      <c r="H48" s="6"/>
    </row>
    <row r="49" spans="3:8" ht="18.75">
      <c r="C49"/>
      <c r="D49" s="4"/>
      <c r="E49" s="4"/>
      <c r="F49" s="4"/>
      <c r="G49" s="4"/>
      <c r="H49" s="6"/>
    </row>
    <row r="50" spans="3:8" ht="18.75">
      <c r="C50"/>
      <c r="D50" s="4"/>
      <c r="E50" s="4"/>
      <c r="F50" s="4"/>
      <c r="G50" s="4"/>
      <c r="H50" s="6"/>
    </row>
    <row r="51" spans="3:8" ht="18.75">
      <c r="C51"/>
      <c r="D51" s="4"/>
      <c r="E51" s="4"/>
      <c r="F51" s="4"/>
      <c r="G51" s="4"/>
      <c r="H51" s="6"/>
    </row>
    <row r="52" spans="3:8" ht="18.75">
      <c r="C52"/>
      <c r="D52" s="4"/>
      <c r="E52" s="4"/>
      <c r="F52" s="4"/>
      <c r="G52" s="4"/>
      <c r="H52" s="6"/>
    </row>
    <row r="53" spans="3:8" ht="18.75">
      <c r="C53"/>
      <c r="D53" s="4"/>
      <c r="E53" s="4"/>
      <c r="F53" s="4"/>
      <c r="G53" s="4"/>
      <c r="H53" s="6"/>
    </row>
    <row r="54" spans="3:8" ht="18.75">
      <c r="C54"/>
      <c r="D54" s="4"/>
      <c r="E54" s="4"/>
      <c r="F54" s="4"/>
      <c r="G54" s="4"/>
      <c r="H54" s="6"/>
    </row>
    <row r="55" spans="3:8" ht="18.75">
      <c r="C55"/>
      <c r="D55" s="4"/>
      <c r="E55" s="4"/>
      <c r="F55" s="4"/>
      <c r="G55" s="4"/>
      <c r="H55" s="6"/>
    </row>
    <row r="56" spans="3:8" ht="18.75">
      <c r="C56"/>
      <c r="D56" s="4"/>
      <c r="E56" s="4"/>
      <c r="F56" s="4"/>
      <c r="G56" s="4"/>
      <c r="H56" s="6"/>
    </row>
    <row r="57" spans="3:8" ht="18.75">
      <c r="C57"/>
      <c r="D57" s="4"/>
      <c r="E57" s="4"/>
      <c r="F57" s="4"/>
      <c r="G57" s="4"/>
      <c r="H57" s="6"/>
    </row>
    <row r="58" spans="3:8" ht="18.75">
      <c r="C58"/>
      <c r="D58" s="4"/>
      <c r="E58" s="4"/>
      <c r="F58" s="4"/>
      <c r="G58" s="4"/>
      <c r="H58" s="6"/>
    </row>
    <row r="59" spans="3:8" ht="18.75">
      <c r="C59"/>
      <c r="D59" s="4"/>
      <c r="E59" s="4"/>
      <c r="F59" s="4"/>
      <c r="G59" s="4"/>
      <c r="H59" s="6"/>
    </row>
    <row r="60" spans="3:8" ht="18.75">
      <c r="C60"/>
      <c r="D60" s="4"/>
      <c r="E60" s="4"/>
      <c r="F60" s="4"/>
      <c r="G60" s="4"/>
      <c r="H60" s="6"/>
    </row>
    <row r="61" spans="3:8" ht="18.75">
      <c r="C61"/>
      <c r="D61" s="4"/>
      <c r="E61" s="4"/>
      <c r="F61" s="4"/>
      <c r="G61" s="4"/>
      <c r="H61" s="6"/>
    </row>
    <row r="62" spans="3:8" ht="18.75">
      <c r="C62"/>
      <c r="D62" s="4"/>
      <c r="E62" s="4"/>
      <c r="F62" s="4"/>
      <c r="G62" s="4"/>
      <c r="H62" s="6"/>
    </row>
    <row r="63" spans="3:8" ht="18.75">
      <c r="C63"/>
      <c r="D63" s="4"/>
      <c r="E63" s="4"/>
      <c r="F63" s="4"/>
      <c r="G63" s="4"/>
      <c r="H63" s="6"/>
    </row>
    <row r="64" spans="3:8" ht="18.75">
      <c r="C64"/>
      <c r="D64" s="4"/>
      <c r="E64" s="4"/>
      <c r="F64" s="4"/>
      <c r="G64" s="4"/>
      <c r="H64" s="6"/>
    </row>
    <row r="65" spans="3:8" ht="18.75">
      <c r="C65"/>
      <c r="D65" s="4"/>
      <c r="E65" s="4"/>
      <c r="F65" s="4"/>
      <c r="G65" s="4"/>
      <c r="H65" s="6"/>
    </row>
    <row r="66" spans="3:8" ht="18.75">
      <c r="C66"/>
      <c r="D66" s="4"/>
      <c r="E66" s="4"/>
      <c r="F66" s="4"/>
      <c r="G66" s="4"/>
      <c r="H66" s="6"/>
    </row>
    <row r="67" spans="3:8" ht="18.75">
      <c r="C67" s="6"/>
      <c r="D67" s="4"/>
      <c r="E67" s="4"/>
      <c r="F67" s="4"/>
      <c r="G67" s="4"/>
      <c r="H67" s="6"/>
    </row>
    <row r="68" spans="3:8" ht="18.75">
      <c r="C68"/>
      <c r="D68" s="4"/>
      <c r="E68" s="4"/>
      <c r="F68" s="4"/>
      <c r="G68" s="4"/>
      <c r="H68" s="6"/>
    </row>
    <row r="69" spans="3:8" ht="18.75">
      <c r="C69"/>
      <c r="D69" s="4"/>
      <c r="E69" s="4"/>
      <c r="F69" s="4"/>
      <c r="G69" s="4"/>
      <c r="H69" s="6"/>
    </row>
    <row r="70" spans="3:8" ht="18.75">
      <c r="C70"/>
      <c r="D70" s="4"/>
      <c r="E70" s="4"/>
      <c r="F70" s="4"/>
      <c r="G70" s="4"/>
      <c r="H70" s="6"/>
    </row>
    <row r="71" spans="3:8" ht="18.75">
      <c r="C71"/>
      <c r="D71" s="4"/>
      <c r="E71" s="4"/>
      <c r="F71" s="4"/>
      <c r="G71" s="4"/>
      <c r="H71" s="6"/>
    </row>
    <row r="72" spans="3:8" ht="18.75">
      <c r="C72"/>
      <c r="D72" s="4"/>
      <c r="E72" s="4"/>
      <c r="F72" s="4"/>
      <c r="G72" s="4"/>
      <c r="H72" s="6"/>
    </row>
    <row r="73" spans="3:8" ht="18.75">
      <c r="C73"/>
      <c r="D73" s="4"/>
      <c r="E73" s="4"/>
      <c r="F73" s="4"/>
      <c r="G73" s="4"/>
      <c r="H73" s="6"/>
    </row>
    <row r="74" spans="3:8" ht="18.75">
      <c r="C74"/>
      <c r="D74" s="4"/>
      <c r="E74" s="4"/>
      <c r="F74" s="4"/>
      <c r="G74" s="4"/>
      <c r="H74" s="6"/>
    </row>
    <row r="75" spans="3:8" ht="18.75">
      <c r="C75"/>
      <c r="D75" s="4"/>
      <c r="E75" s="4"/>
      <c r="F75" s="4"/>
      <c r="G75" s="4"/>
      <c r="H75" s="6"/>
    </row>
    <row r="76" spans="3:8" ht="18.75">
      <c r="C76"/>
      <c r="D76" s="4"/>
      <c r="E76" s="4"/>
      <c r="F76" s="4"/>
      <c r="G76" s="4"/>
      <c r="H76" s="6"/>
    </row>
    <row r="77" spans="3:8" ht="18.75">
      <c r="C77"/>
      <c r="D77" s="4"/>
      <c r="E77" s="4"/>
      <c r="F77" s="4"/>
      <c r="G77" s="4"/>
      <c r="H77" s="6"/>
    </row>
    <row r="78" spans="3:8" ht="18.75">
      <c r="C78"/>
      <c r="D78" s="4"/>
      <c r="E78" s="4"/>
      <c r="F78" s="4"/>
      <c r="G78" s="4"/>
      <c r="H78" s="6"/>
    </row>
    <row r="79" spans="3:8" ht="18.75">
      <c r="C79"/>
      <c r="D79" s="4"/>
      <c r="E79" s="4"/>
      <c r="F79" s="4"/>
      <c r="G79" s="4"/>
      <c r="H79" s="6"/>
    </row>
    <row r="80" spans="3:8" ht="18.75">
      <c r="C80"/>
      <c r="D80" s="4"/>
      <c r="E80" s="4"/>
      <c r="F80" s="4"/>
      <c r="G80" s="4"/>
      <c r="H80" s="6"/>
    </row>
    <row r="81" spans="3:8" ht="18.75">
      <c r="C81"/>
      <c r="D81" s="4"/>
      <c r="E81" s="4"/>
      <c r="F81" s="4"/>
      <c r="G81" s="4"/>
      <c r="H81" s="6"/>
    </row>
    <row r="82" spans="3:8" ht="18.75">
      <c r="C82"/>
      <c r="D82" s="4"/>
      <c r="E82" s="4"/>
      <c r="F82" s="4"/>
      <c r="G82" s="4"/>
      <c r="H82" s="6"/>
    </row>
    <row r="83" spans="3:8" ht="18.75">
      <c r="C83"/>
      <c r="D83" s="4"/>
      <c r="E83" s="4"/>
      <c r="F83" s="4"/>
      <c r="G83" s="4"/>
      <c r="H83" s="6"/>
    </row>
    <row r="84" spans="3:8" ht="18.75">
      <c r="C84"/>
      <c r="D84" s="4"/>
      <c r="E84" s="4"/>
      <c r="F84" s="4"/>
      <c r="G84" s="4"/>
      <c r="H84" s="6"/>
    </row>
    <row r="85" spans="3:8" ht="18.75">
      <c r="C85"/>
      <c r="D85" s="4"/>
      <c r="E85" s="4"/>
      <c r="F85" s="4"/>
      <c r="G85" s="4"/>
      <c r="H85" s="6"/>
    </row>
    <row r="86" spans="3:8" ht="18.75">
      <c r="C86"/>
      <c r="D86" s="4"/>
      <c r="E86" s="4"/>
      <c r="F86" s="4"/>
      <c r="G86" s="4"/>
      <c r="H86" s="6"/>
    </row>
    <row r="87" spans="3:8" ht="18.75">
      <c r="C87"/>
      <c r="D87" s="4"/>
      <c r="E87" s="4"/>
      <c r="F87" s="4"/>
      <c r="G87" s="4"/>
      <c r="H87" s="6"/>
    </row>
    <row r="88" spans="3:8" ht="18.75">
      <c r="C88"/>
      <c r="D88" s="4"/>
      <c r="E88" s="4"/>
      <c r="F88" s="4"/>
      <c r="G88" s="4"/>
      <c r="H88" s="6"/>
    </row>
    <row r="89" spans="3:8" ht="18.75">
      <c r="C89"/>
      <c r="D89" s="4"/>
      <c r="E89" s="4"/>
      <c r="F89" s="4"/>
      <c r="G89" s="4"/>
      <c r="H89" s="6"/>
    </row>
    <row r="90" spans="3:8" ht="18.75">
      <c r="C90"/>
      <c r="D90" s="4"/>
      <c r="E90" s="4"/>
      <c r="F90" s="4"/>
      <c r="G90" s="4"/>
      <c r="H90" s="6"/>
    </row>
    <row r="91" spans="3:8" ht="18.75">
      <c r="C91"/>
      <c r="D91" s="4"/>
      <c r="E91" s="4"/>
      <c r="F91" s="4"/>
      <c r="G91" s="4"/>
      <c r="H91" s="6"/>
    </row>
    <row r="92" spans="3:8" ht="18.75">
      <c r="C92"/>
      <c r="D92" s="4"/>
      <c r="E92" s="4"/>
      <c r="F92" s="4"/>
      <c r="G92" s="4"/>
      <c r="H92" s="6"/>
    </row>
    <row r="93" spans="3:8" ht="18.75">
      <c r="C93"/>
      <c r="D93" s="4"/>
      <c r="E93" s="4"/>
      <c r="F93" s="4"/>
      <c r="G93" s="4"/>
      <c r="H93" s="6"/>
    </row>
    <row r="94" spans="3:8" ht="18.75">
      <c r="C94" s="4"/>
      <c r="D94" s="47"/>
      <c r="E94" s="4"/>
      <c r="F94" s="4"/>
      <c r="G94" s="4"/>
      <c r="H94" s="4"/>
    </row>
    <row r="95" spans="3:8" ht="18.75">
      <c r="C95" s="4"/>
      <c r="D95" s="47"/>
      <c r="E95" s="4"/>
      <c r="F95" s="4"/>
      <c r="G95" s="4"/>
      <c r="H95" s="4"/>
    </row>
    <row r="96" spans="3:8" ht="18.75">
      <c r="C96" s="4"/>
      <c r="D96" s="47"/>
      <c r="E96" s="4"/>
      <c r="F96" s="4"/>
      <c r="G96" s="4"/>
      <c r="H96" s="4"/>
    </row>
    <row r="97" spans="3:8" ht="18.75">
      <c r="C97" s="4"/>
      <c r="D97" s="47"/>
      <c r="E97" s="4"/>
      <c r="F97" s="4"/>
      <c r="G97" s="4"/>
      <c r="H97" s="4"/>
    </row>
    <row r="98" spans="3:8" ht="18.75">
      <c r="C98"/>
      <c r="D98" s="4"/>
      <c r="E98" s="4"/>
      <c r="F98" s="4"/>
      <c r="G98" s="4"/>
      <c r="H98" s="6"/>
    </row>
    <row r="99" spans="3:8" ht="18.75">
      <c r="C99"/>
      <c r="D99" s="4"/>
      <c r="E99" s="4"/>
      <c r="F99" s="4"/>
      <c r="G99" s="4"/>
      <c r="H99" s="6"/>
    </row>
    <row r="100" spans="3:8" ht="18.75">
      <c r="C100" s="4"/>
      <c r="D100" s="47"/>
      <c r="E100" s="4"/>
      <c r="F100" s="4"/>
      <c r="G100" s="4"/>
      <c r="H100" s="6"/>
    </row>
    <row r="101" spans="3:8" ht="18.75">
      <c r="C101"/>
      <c r="D101" s="4"/>
      <c r="E101" s="4"/>
      <c r="F101" s="4"/>
      <c r="G101" s="4"/>
      <c r="H101" s="6"/>
    </row>
    <row r="102" spans="3:8" ht="18.75">
      <c r="C102"/>
      <c r="D102" s="4"/>
      <c r="E102" s="4"/>
      <c r="F102" s="4"/>
      <c r="G102" s="4"/>
      <c r="H102" s="6"/>
    </row>
    <row r="103" spans="3:8" ht="18.75">
      <c r="C103" s="43"/>
      <c r="D103" s="39"/>
      <c r="H103" s="36"/>
    </row>
    <row r="104" spans="3:8" ht="18.75">
      <c r="C104" s="43"/>
      <c r="D104" s="39"/>
      <c r="H104" s="36"/>
    </row>
  </sheetData>
  <autoFilter ref="E2:G104" xr:uid="{00000000-0001-0000-0000-000000000000}"/>
  <phoneticPr fontId="1"/>
  <pageMargins left="0.7" right="0.7" top="0.75" bottom="0.75" header="0.3" footer="0.3"/>
  <pageSetup paperSize="9" orientation="portrait" horizontalDpi="1200" verticalDpi="1200"/>
  <extLst>
    <ext xmlns:x14="http://schemas.microsoft.com/office/spreadsheetml/2009/9/main" uri="{CCE6A557-97BC-4b89-ADB6-D9C93CAAB3DF}">
      <x14:dataValidations xmlns:xm="http://schemas.microsoft.com/office/excel/2006/main" count="3">
        <x14:dataValidation type="list" allowBlank="1" showInputMessage="1" showErrorMessage="1" xr:uid="{A83D83F3-3B26-4E37-A8DD-007161044665}">
          <x14:formula1>
            <xm:f>プルダウン用!$B$3:$B$6</xm:f>
          </x14:formula1>
          <xm:sqref>G98:G99 G101:G1048576 G1:G93</xm:sqref>
        </x14:dataValidation>
        <x14:dataValidation type="list" allowBlank="1" showInputMessage="1" showErrorMessage="1" xr:uid="{66D8840C-D443-486F-BC72-01200775D285}">
          <x14:formula1>
            <xm:f>プルダウン用!$D$3:$D$6</xm:f>
          </x14:formula1>
          <xm:sqref>F101:F1048576 F1:F99</xm:sqref>
        </x14:dataValidation>
        <x14:dataValidation type="list" allowBlank="1" showInputMessage="1" showErrorMessage="1" xr:uid="{D61B1C0A-2748-4606-B0EE-00EEC89A23C6}">
          <x14:formula1>
            <xm:f>プルダウン用!$F$3:$F$6</xm:f>
          </x14:formula1>
          <xm:sqref>E98:E99 E101:E1048576 E1:E93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M21"/>
  <sheetViews>
    <sheetView workbookViewId="0">
      <selection activeCell="J2" sqref="J2"/>
    </sheetView>
  </sheetViews>
  <sheetFormatPr defaultRowHeight="18.75"/>
  <cols>
    <col min="2" max="2" width="20" bestFit="1" customWidth="1"/>
    <col min="3" max="3" width="11.25" bestFit="1" customWidth="1"/>
    <col min="4" max="4" width="11.25" customWidth="1"/>
    <col min="5" max="6" width="13.25" bestFit="1" customWidth="1"/>
    <col min="7" max="7" width="11.125" bestFit="1" customWidth="1"/>
    <col min="9" max="9" width="48.125" bestFit="1" customWidth="1"/>
    <col min="10" max="10" width="11.25" bestFit="1" customWidth="1"/>
    <col min="11" max="11" width="18.875" bestFit="1" customWidth="1"/>
    <col min="12" max="12" width="17.75" customWidth="1"/>
    <col min="13" max="13" width="16.25" customWidth="1"/>
  </cols>
  <sheetData>
    <row r="2" spans="2:13" ht="19.5">
      <c r="B2" s="23" t="s">
        <v>0</v>
      </c>
      <c r="C2" s="23" t="s">
        <v>27</v>
      </c>
      <c r="D2" s="27" t="s">
        <v>26</v>
      </c>
      <c r="E2" s="27" t="s">
        <v>32</v>
      </c>
      <c r="F2" s="27" t="s">
        <v>33</v>
      </c>
      <c r="G2" s="21" t="s">
        <v>22</v>
      </c>
      <c r="I2" s="14" t="s">
        <v>16</v>
      </c>
      <c r="J2" s="13">
        <f>SUM(C:C)</f>
        <v>22.5</v>
      </c>
      <c r="K2" s="13"/>
      <c r="L2" s="12"/>
      <c r="M2" s="12"/>
    </row>
    <row r="3" spans="2:13" ht="19.5">
      <c r="B3" s="7" t="s">
        <v>7</v>
      </c>
      <c r="C3" s="8">
        <f>SUMIF(コスト表!B:B, B3, コスト表!D:D)</f>
        <v>9.5</v>
      </c>
      <c r="D3" s="28">
        <f>SUMIFS(コスト表!D:D, コスト表!B:B, "プレイヤー", コスト表!G:G, "完了")</f>
        <v>0</v>
      </c>
      <c r="E3" s="28">
        <f>SUMIFS(コスト表!D:D, コスト表!B:B, "プレイヤー", コスト表!G:G, "作業中")</f>
        <v>1</v>
      </c>
      <c r="F3" s="28">
        <f>SUMIFS(コスト表!D:D, コスト表!B:B, "プレイヤー", コスト表!G:G, "未着手")</f>
        <v>8.5</v>
      </c>
      <c r="G3" s="24">
        <f>ROUNDDOWN(COUNTIFS(コスト表!B:B, "プレイヤー", コスト表!G:G, "完了") / COUNTIF(コスト表!B:B, "プレイヤー") * 100,1)</f>
        <v>0</v>
      </c>
      <c r="I3" s="15" t="s">
        <v>17</v>
      </c>
      <c r="J3" s="13">
        <f>SUMIF(コスト表!G:G,"完了",コスト表!D:D)</f>
        <v>0</v>
      </c>
      <c r="K3" s="12" t="s">
        <v>18</v>
      </c>
      <c r="M3" s="12"/>
    </row>
    <row r="4" spans="2:13" ht="19.5">
      <c r="B4" s="1" t="s">
        <v>66</v>
      </c>
      <c r="C4" s="8">
        <f>SUMIF(コスト表!B:B, B4, コスト表!D:D)</f>
        <v>8</v>
      </c>
      <c r="D4" s="28">
        <f>SUMIFS(コスト表!D:D, コスト表!B:B, "敵", コスト表!G:G, "完了")</f>
        <v>0</v>
      </c>
      <c r="E4" s="28">
        <f>SUMIFS(コスト表!D:D, コスト表!B:B, "敵", コスト表!G:G, "作業中")</f>
        <v>0</v>
      </c>
      <c r="F4" s="28">
        <f>SUMIFS(コスト表!D:D, コスト表!B:B, "敵", コスト表!G:G, "未着手")</f>
        <v>8</v>
      </c>
      <c r="G4" s="24">
        <f>ROUNDDOWN(COUNTIFS(コスト表!B:B, "敵", コスト表!G:G, "完了") / COUNTIF(コスト表!B:B, "敵") * 100,1)</f>
        <v>0</v>
      </c>
      <c r="I4" s="16" t="s">
        <v>19</v>
      </c>
      <c r="J4" s="13">
        <f ca="1">NETWORKDAYS(J5,J6)</f>
        <v>3</v>
      </c>
      <c r="K4" s="13">
        <f ca="1" xml:space="preserve"> ROUNDDOWN(J3 / J4,1)</f>
        <v>0</v>
      </c>
      <c r="M4" s="12"/>
    </row>
    <row r="5" spans="2:13" ht="19.5">
      <c r="B5" s="7" t="s">
        <v>67</v>
      </c>
      <c r="C5" s="8">
        <f>SUMIF(コスト表!B:B, B5, コスト表!D:D)</f>
        <v>2</v>
      </c>
      <c r="D5" s="28">
        <f>SUMIFS(コスト表!D:D, コスト表!B:B, "Boss", コスト表!G:G, "完了")</f>
        <v>0</v>
      </c>
      <c r="E5" s="28">
        <f>SUMIFS(コスト表!D:D, コスト表!B:B, "Boss", コスト表!G:G, "作業中")</f>
        <v>0</v>
      </c>
      <c r="F5" s="28">
        <f>SUMIFS(コスト表!D:D, コスト表!B:B, "Boss", コスト表!G:G, "未着手")</f>
        <v>2</v>
      </c>
      <c r="G5" s="24">
        <f>ROUNDDOWN(COUNTIFS(コスト表!B:B, "Boss", コスト表!G:G, "完了") / COUNTIF(コスト表!B:B, "Boss") * 100,1)</f>
        <v>0</v>
      </c>
      <c r="I5" s="17" t="s">
        <v>20</v>
      </c>
      <c r="J5" s="26">
        <f>DATE(2026,2,3)</f>
        <v>46056</v>
      </c>
      <c r="K5" s="26"/>
      <c r="L5" s="12"/>
      <c r="M5" s="12"/>
    </row>
    <row r="6" spans="2:13" ht="19.5">
      <c r="B6" s="7" t="s">
        <v>68</v>
      </c>
      <c r="C6" s="8">
        <f>SUMIF(コスト表!B:B, B6, コスト表!D:D)</f>
        <v>1</v>
      </c>
      <c r="D6" s="28">
        <f>SUMIFS(コスト表!D:D, コスト表!B:B, "ステージ", コスト表!G:G, "完了")</f>
        <v>0</v>
      </c>
      <c r="E6" s="28">
        <f>SUMIFS(コスト表!D:D, コスト表!B:B, "ステージ", コスト表!G:G, "作業中")</f>
        <v>0</v>
      </c>
      <c r="F6" s="28">
        <f>SUMIFS(コスト表!D:D,コスト表!B:B,"ステージ",コスト表!G:G,"未着手")</f>
        <v>1</v>
      </c>
      <c r="G6" s="24">
        <f>ROUNDDOWN(COUNTIFS(コスト表!B:B, "ステージ", コスト表!G:G, "完了") / COUNTIF(コスト表!B:B, "ステージ") * 100,1)</f>
        <v>0</v>
      </c>
      <c r="I6" s="18" t="s">
        <v>21</v>
      </c>
      <c r="J6" s="26">
        <f ca="1">TODAY()</f>
        <v>46058</v>
      </c>
      <c r="K6" s="26"/>
      <c r="L6" s="12"/>
      <c r="M6" s="12"/>
    </row>
    <row r="7" spans="2:13" ht="19.5">
      <c r="B7" s="7" t="s">
        <v>77</v>
      </c>
      <c r="C7" s="8">
        <f>SUMIF(コスト表!B:B, B7, コスト表!D:D)</f>
        <v>2</v>
      </c>
      <c r="D7" s="28">
        <f>SUMIFS(コスト表!D:D, コスト表!B:B, "チュートリアル", コスト表!G:G, "完了")</f>
        <v>0</v>
      </c>
      <c r="E7" s="28">
        <f>SUMIFS(コスト表!D:D, コスト表!B:B, "チュートリアル", コスト表!G:G, "作業中")</f>
        <v>0</v>
      </c>
      <c r="F7" s="28">
        <f>SUMIFS(コスト表!D:D,コスト表!B:B,"チュートリアル",コスト表!G:G,"未着手")</f>
        <v>2</v>
      </c>
      <c r="G7" s="24">
        <f>ROUNDDOWN(COUNTIFS(コスト表!B:B, "チュートリアル", コスト表!G:G, "完了") / COUNTIF(コスト表!B:B, "チュートリアル") * 100,1)</f>
        <v>0</v>
      </c>
      <c r="I7" s="53"/>
      <c r="J7" s="26"/>
      <c r="K7" s="26"/>
      <c r="L7" s="12"/>
      <c r="M7" s="12"/>
    </row>
    <row r="8" spans="2:13">
      <c r="B8" s="7" t="s">
        <v>69</v>
      </c>
      <c r="C8" s="8">
        <f>SUMIF(コスト表!B:B, B8, コスト表!D:D)</f>
        <v>0</v>
      </c>
      <c r="D8" s="28">
        <f>SUMIFS(コスト表!D:D, コスト表!B:B, "敵3(遠距離型ゾンビ)", コスト表!G:G, "完了")</f>
        <v>0</v>
      </c>
      <c r="E8" s="28">
        <f>SUMIFS(コスト表!D:D, コスト表!B:B, "敵3(遠距離型ゾンビ)", コスト表!G:G, "作業中")</f>
        <v>0</v>
      </c>
      <c r="F8" s="28">
        <f>SUMIFS(コスト表!D:D, コスト表!B:B, "敵3(遠距離型ゾンビ)", コスト表!G:G, "未着手")</f>
        <v>0</v>
      </c>
      <c r="G8" s="24">
        <f>ROUNDDOWN(COUNTIFS(コスト表!B:B, "ポートフォリオ", コスト表!G:G, "完了") / COUNTIF(コスト表!B:B, "ポートフォリオ") * 100,1)</f>
        <v>0</v>
      </c>
      <c r="M8" s="12"/>
    </row>
    <row r="9" spans="2:13">
      <c r="B9" s="7" t="s">
        <v>70</v>
      </c>
      <c r="C9" s="8">
        <f>SUMIF(コスト表!B:B, B9, コスト表!D:D)</f>
        <v>0</v>
      </c>
      <c r="D9" s="28">
        <f>SUMIFS(コスト表!D:D, コスト表!B:B, "ボス(ゾンビを召喚)", コスト表!G:G, "完了")</f>
        <v>0</v>
      </c>
      <c r="E9" s="28">
        <f>SUMIFS(コスト表!D:D, コスト表!B:B, "ボス(ゾンビを召喚)", コスト表!G:G, "作業中")</f>
        <v>0</v>
      </c>
      <c r="F9" s="28">
        <f>SUMIFS(コスト表!D:D,コスト表!B:B,"ボス(ゾンビを召喚)",コスト表!G:G,"未着手")</f>
        <v>0</v>
      </c>
      <c r="G9" s="24">
        <f>ROUNDDOWN(COUNTIFS(コスト表!B:B, "動画作成", コスト表!G:G, "完了") / COUNTIF(コスト表!B:B, "動画作成") * 100,1)</f>
        <v>0</v>
      </c>
    </row>
    <row r="10" spans="2:13">
      <c r="B10" s="25" t="s">
        <v>23</v>
      </c>
      <c r="C10" s="5"/>
      <c r="D10" s="5"/>
      <c r="E10" s="5"/>
      <c r="F10" s="5"/>
      <c r="G10" s="24">
        <f>ROUNDDOWN(COUNTIF(コスト表!G:G, "完了") / COUNTA(コスト表!G:G) * 100,1)</f>
        <v>0</v>
      </c>
    </row>
    <row r="13" spans="2:13">
      <c r="C13" s="4"/>
      <c r="D13" s="4"/>
      <c r="E13" s="4"/>
      <c r="F13" s="4"/>
      <c r="G13" s="22"/>
    </row>
    <row r="14" spans="2:13">
      <c r="C14" s="4"/>
      <c r="D14" s="4"/>
      <c r="E14" s="4"/>
      <c r="F14" s="4"/>
      <c r="G14" s="22"/>
    </row>
    <row r="15" spans="2:13">
      <c r="G15" s="22"/>
    </row>
    <row r="16" spans="2:13">
      <c r="G16" s="22"/>
    </row>
    <row r="18" spans="7:7">
      <c r="G18" s="20"/>
    </row>
    <row r="19" spans="7:7">
      <c r="G19" s="20"/>
    </row>
    <row r="20" spans="7:7">
      <c r="G20" s="20"/>
    </row>
    <row r="21" spans="7:7">
      <c r="G21" s="20"/>
    </row>
  </sheetData>
  <phoneticPr fontId="1"/>
  <pageMargins left="0.75" right="0.75" top="1" bottom="1" header="0.5" footer="0.5"/>
  <pageSetup paperSize="9"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868E3-33E5-43E7-9EF1-2BA63334710F}">
  <dimension ref="B2:F12"/>
  <sheetViews>
    <sheetView workbookViewId="0">
      <selection activeCell="F9" sqref="F9"/>
    </sheetView>
  </sheetViews>
  <sheetFormatPr defaultRowHeight="18.75"/>
  <cols>
    <col min="2" max="2" width="33" bestFit="1" customWidth="1"/>
    <col min="3" max="3" width="10.375" customWidth="1"/>
  </cols>
  <sheetData>
    <row r="2" spans="2:6">
      <c r="B2" s="19" t="s">
        <v>14</v>
      </c>
      <c r="D2" s="19" t="s">
        <v>4</v>
      </c>
      <c r="F2" s="19" t="s">
        <v>3</v>
      </c>
    </row>
    <row r="3" spans="2:6">
      <c r="B3" s="9" t="s">
        <v>9</v>
      </c>
      <c r="D3" s="9" t="s">
        <v>37</v>
      </c>
      <c r="F3" s="9" t="s">
        <v>8</v>
      </c>
    </row>
    <row r="4" spans="2:6">
      <c r="B4" s="2" t="s">
        <v>11</v>
      </c>
      <c r="D4" s="9" t="s">
        <v>34</v>
      </c>
      <c r="F4" s="9" t="s">
        <v>13</v>
      </c>
    </row>
    <row r="5" spans="2:6">
      <c r="B5" s="2" t="s">
        <v>12</v>
      </c>
      <c r="D5" s="9" t="s">
        <v>35</v>
      </c>
      <c r="F5" s="9" t="s">
        <v>10</v>
      </c>
    </row>
    <row r="6" spans="2:6">
      <c r="B6" s="3" t="s">
        <v>24</v>
      </c>
      <c r="D6" s="10" t="s">
        <v>36</v>
      </c>
      <c r="F6" s="10" t="s">
        <v>15</v>
      </c>
    </row>
    <row r="8" spans="2:6">
      <c r="B8" s="32" t="s">
        <v>3</v>
      </c>
    </row>
    <row r="9" spans="2:6">
      <c r="B9" s="30" t="s">
        <v>28</v>
      </c>
    </row>
    <row r="10" spans="2:6">
      <c r="B10" s="30" t="s">
        <v>29</v>
      </c>
    </row>
    <row r="11" spans="2:6">
      <c r="B11" s="30" t="s">
        <v>30</v>
      </c>
    </row>
    <row r="12" spans="2:6">
      <c r="B12" s="31" t="s">
        <v>31</v>
      </c>
    </row>
  </sheetData>
  <phoneticPr fontId="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6836AD0B55474E4CAD520F1DEB8FB579" ma:contentTypeVersion="3" ma:contentTypeDescription="新しいドキュメントを作成します。" ma:contentTypeScope="" ma:versionID="078ba6c1f7b5b638bb57eb024ae572f7">
  <xsd:schema xmlns:xsd="http://www.w3.org/2001/XMLSchema" xmlns:xs="http://www.w3.org/2001/XMLSchema" xmlns:p="http://schemas.microsoft.com/office/2006/metadata/properties" xmlns:ns2="187a6309-4c0c-49e3-bd2d-e8130eb88270" targetNamespace="http://schemas.microsoft.com/office/2006/metadata/properties" ma:root="true" ma:fieldsID="c5f182963113af090d1b42042cf04cb6" ns2:_="">
    <xsd:import namespace="187a6309-4c0c-49e3-bd2d-e8130eb88270"/>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87a6309-4c0c-49e3-bd2d-e8130eb8827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A1D85CE-B20E-4841-A55B-779E85453EF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87a6309-4c0c-49e3-bd2d-e8130eb8827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90E09EE-5F6D-4AB8-AE54-C74368FE6F4B}">
  <ds:schemaRefs>
    <ds:schemaRef ds:uri="http://schemas.microsoft.com/sharepoint/v3/contenttype/forms"/>
  </ds:schemaRefs>
</ds:datastoreItem>
</file>

<file path=customXml/itemProps3.xml><?xml version="1.0" encoding="utf-8"?>
<ds:datastoreItem xmlns:ds="http://schemas.openxmlformats.org/officeDocument/2006/customXml" ds:itemID="{BC0DB335-AD01-472D-90D0-5B4B126AC491}">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コスト表</vt:lpstr>
      <vt:lpstr>集計</vt:lpstr>
      <vt:lpstr>プルダウン用</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中川　怜皇</dc:creator>
  <cp:keywords/>
  <dc:description/>
  <cp:lastModifiedBy>瑛人 由留部</cp:lastModifiedBy>
  <cp:revision/>
  <dcterms:created xsi:type="dcterms:W3CDTF">2025-05-14T08:12:28Z</dcterms:created>
  <dcterms:modified xsi:type="dcterms:W3CDTF">2026-02-05T07:49:39Z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0x0101006836AD0B55474E4CAD520F1DEB8FB579</vt:lpwstr>
  </property>
</Properties>
</file>