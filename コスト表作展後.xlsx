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ho24\OneDrive\ドキュメント\MyGame3D2\"/>
    </mc:Choice>
  </mc:AlternateContent>
  <xr:revisionPtr revIDLastSave="0" documentId="13_ncr:1_{3D69D595-4A4E-4176-93A8-B4F704EE6B6F}" xr6:coauthVersionLast="47" xr6:coauthVersionMax="47" xr10:uidLastSave="{00000000-0000-0000-0000-000000000000}"/>
  <bookViews>
    <workbookView xWindow="3435" yWindow="3645" windowWidth="21420" windowHeight="11160"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コスト表!$E$2:$G$103</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<sst xmlns="http://schemas.openxmlformats.org/spreadsheetml/2006/main" count="155" uniqueCount="97">
  <si>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</si>
  <si>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</si>
  <si>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</si>
  <si>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</si>
  <si>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</si>
  <si>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</si>
  <si>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</si>
  <si>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</si>
  <si>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</si>
  <si>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</si>
  <si>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</si>
  <si>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</si>
  <si>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</si>
  <si>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</si>
  <si>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</si>
  <si>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</si>
  <si>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</si>
  <si>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</si>
  <si>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</si>
  <si>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</si>
  <si>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</si>
  <si>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</si>
  <si>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</si>
  <si>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</si>
  <si>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</si>
  <si>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</si>
  <si>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</si>
  <si>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</si>
  <si>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</si>
  <si>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</si>
  <si>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</si>
  <si>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</si>
  <si>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</si>
  <si>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</si>
  <si>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</si>
  <si>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</si>
  <si>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</si>
  <si>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</si>
  <si>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</si>
  <si>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</si>
  <si>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</si>
  <si>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</si>
  <si>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</si>
  <si>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</si>
  <si>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</si>
  <si>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</si>
  <si>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</si>
  <si>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</si>
  <si>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</si>
  <si>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</si>
  <si>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</si>
  <si>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</si>
  <si>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</si>
  <si>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</si>
  <si>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</si>
  <si>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</si>
  <si>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</si>
  <si>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</si>
  <si>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</si>
  <si>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</si>
  <si>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</si>
  <si>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</si>
  <si>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</si>
  <si>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</si>
  <si>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</si>
  <si>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</si>
  <si>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</si>
  <si>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</si>
  <si>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</si>
  <si>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</si>
  <si>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</si>
  <si>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</si>
  <si>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</si>
  <si>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</si>
  <si>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</si>
  <si>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</si>
  <si>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</si>
  <si>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</si>
  <si>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</si>
  <si>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</si>
  <si>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</si>
  <si>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</si>
  <si>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</si>
  <si>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</si>
  <si>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</si>
  <si>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</si>
  <si>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</si>
  <si>
    <t>デバックメニューのウィンドウモードをオンするとマウスカーソルが消えてしまう不具合</t>
    <rPh sb="31" eb="32">
      <t>キ</t>
    </rPh>
    <rPh sb="37" eb="40">
      <t>フグアイ</t>
    </rPh>
    <phoneticPr fontId="1"/>
  </si>
  <si>
    <t>ダッシュジャンプタックルを行うと敵をすり抜ける不具合</t>
    <rPh sb="13" eb="14">
      <t>オコナ</t>
    </rPh>
    <rPh sb="16" eb="17">
      <t>テキ</t>
    </rPh>
    <rPh sb="20" eb="21">
      <t>ヌ</t>
    </rPh>
    <rPh sb="23" eb="26">
      <t>フグアイ</t>
    </rPh>
    <phoneticPr fontId="1"/>
  </si>
  <si>
    <t>タックル攻撃を行い敵に当たったら止まるだけではなく少し後ろにノックバックする</t>
    <rPh sb="4" eb="6">
      <t>コウゲキ</t>
    </rPh>
    <rPh sb="7" eb="8">
      <t>オコナ</t>
    </rPh>
    <rPh sb="9" eb="10">
      <t>テキ</t>
    </rPh>
    <rPh sb="11" eb="12">
      <t>ア</t>
    </rPh>
    <rPh sb="16" eb="17">
      <t>ト</t>
    </rPh>
    <rPh sb="25" eb="26">
      <t>スコ</t>
    </rPh>
    <rPh sb="27" eb="28">
      <t>ウシ</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</si>
  <si>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</si>
  <si>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</si>
  <si>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</si>
  <si>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</si>
  <si>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</si>
  <si>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</si>
  <si>
    <t>無名名前空間と名前付き名前空間の違い</t>
    <rPh sb="0" eb="6">
      <t>ムメイナマエクウカン</t>
    </rPh>
    <rPh sb="7" eb="10">
      <t>ナマエツ</t>
    </rPh>
    <rPh sb="11" eb="15">
      <t>ナマエクウカン</t>
    </rPh>
    <rPh sb="16" eb="17">
      <t>チガ</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</si>
</sst>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3"/>
  <sheetViews>
    <sheetView tabSelected="1" zoomScaleNormal="100" workbookViewId="0">
      <pane ySplit="2" topLeftCell="A3" activePane="bottomLeft" state="frozen"/>
      <selection pane="bottomLeft" activeCell="C6" sqref="C6"/>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11</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18.75">
      <c r="B6" s="34" t="s">
        <v>82</v>
      </c>
      <c r="C6" s="36" t="s">
        <v>83</v>
      </c>
      <c r="D6" s="39">
        <v>0.5</v>
      </c>
      <c r="E6" s="39" t="s">
        <v>8</v>
      </c>
      <c r="G6" s="39" t="s">
        <v>9</v>
      </c>
      <c r="H6" s="36"/>
    </row>
    <row r="7" spans="2:8" ht="18.75">
      <c r="B7" s="34" t="s">
        <v>82</v>
      </c>
      <c r="C7" s="36" t="s">
        <v>84</v>
      </c>
      <c r="D7" s="39">
        <v>1</v>
      </c>
      <c r="E7" s="39" t="s">
        <v>8</v>
      </c>
      <c r="G7" s="39" t="s">
        <v>9</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9</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9</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9</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81</v>
      </c>
      <c r="C26"/>
      <c r="D26" s="4"/>
      <c r="E26" s="4"/>
      <c r="F26" s="4"/>
      <c r="G26" s="4"/>
      <c r="H26" s="6"/>
    </row>
    <row r="27" spans="2:8" ht="18.75">
      <c r="B27" t="s">
        <v>80</v>
      </c>
      <c r="C27"/>
      <c r="D27" s="4"/>
      <c r="E27" s="4"/>
      <c r="F27" s="4"/>
      <c r="G27" s="4"/>
      <c r="H27" s="4"/>
    </row>
    <row r="28" spans="2:8" ht="18.75">
      <c r="B28" t="s">
        <v>79</v>
      </c>
      <c r="C28"/>
      <c r="D28" s="4"/>
      <c r="E28" s="4"/>
      <c r="F28" s="4"/>
      <c r="G28" s="4"/>
      <c r="H28" s="4"/>
    </row>
    <row r="29" spans="2:8" ht="18.75">
      <c r="B29" t="s">
        <v>87</v>
      </c>
      <c r="C29"/>
      <c r="D29" s="4"/>
      <c r="E29" s="4"/>
      <c r="F29" s="4"/>
      <c r="G29" s="4"/>
      <c r="H29" s="4"/>
    </row>
    <row r="30" spans="2:8" ht="18.75">
      <c r="B30" t="s">
        <v>88</v>
      </c>
      <c r="C30"/>
      <c r="D30" s="4"/>
      <c r="E30" s="4"/>
      <c r="F30" s="4"/>
      <c r="G30" s="4"/>
      <c r="H30" s="4"/>
    </row>
    <row r="31" spans="2:8" ht="18.75">
      <c r="B31" t="s">
        <v>89</v>
      </c>
      <c r="C31"/>
      <c r="D31" s="4"/>
      <c r="E31" s="4"/>
      <c r="F31" s="4"/>
      <c r="G31" s="4"/>
      <c r="H31" s="4"/>
    </row>
    <row r="32" spans="2:8" ht="18.75">
      <c r="B32" t="s">
        <v>91</v>
      </c>
      <c r="C32"/>
      <c r="D32" s="4"/>
      <c r="E32" s="4"/>
      <c r="F32" s="4"/>
      <c r="G32" s="4"/>
      <c r="H32" s="4"/>
    </row>
    <row r="33" spans="2:8" ht="18.75">
      <c r="B33" t="s">
        <v>90</v>
      </c>
      <c r="C33"/>
      <c r="D33" s="4"/>
      <c r="E33" s="4"/>
      <c r="F33" s="4"/>
      <c r="G33" s="4"/>
      <c r="H33" s="4"/>
    </row>
    <row r="34" spans="2:8" ht="18.75">
      <c r="B34" t="s">
        <v>86</v>
      </c>
      <c r="C34"/>
      <c r="D34" s="4"/>
      <c r="E34" s="4"/>
      <c r="F34" s="4"/>
      <c r="G34" s="4"/>
      <c r="H34" s="4"/>
    </row>
    <row r="35" spans="2:8" ht="18.75">
      <c r="B35" t="s">
        <v>92</v>
      </c>
      <c r="C35"/>
      <c r="D35" s="4"/>
      <c r="E35" s="4"/>
      <c r="F35" s="4"/>
      <c r="G35" s="4"/>
      <c r="H35" s="6"/>
    </row>
    <row r="36" spans="2:8" ht="18.75">
      <c r="B36" t="s">
        <v>93</v>
      </c>
      <c r="C36"/>
      <c r="D36" s="4"/>
      <c r="E36" s="4"/>
      <c r="F36" s="4"/>
      <c r="G36" s="4"/>
      <c r="H36" s="6"/>
    </row>
    <row r="37" spans="2:8" ht="18.75">
      <c r="B37" t="s">
        <v>94</v>
      </c>
      <c r="C37"/>
      <c r="D37" s="4"/>
      <c r="E37" s="4"/>
      <c r="F37" s="4"/>
      <c r="G37" s="4"/>
      <c r="H37" s="6"/>
    </row>
    <row r="38" spans="2:8" ht="18.75">
      <c r="B38" t="s">
        <v>95</v>
      </c>
      <c r="C38"/>
      <c r="D38" s="4"/>
      <c r="E38" s="4"/>
      <c r="F38" s="4"/>
      <c r="G38" s="4"/>
      <c r="H38" s="6"/>
    </row>
    <row r="39" spans="2:8" ht="18.75">
      <c r="B39" t="s">
        <v>85</v>
      </c>
      <c r="C39"/>
      <c r="D39" s="4"/>
      <c r="E39" s="4"/>
      <c r="F39" s="4"/>
      <c r="G39" s="4"/>
      <c r="H39" s="6"/>
    </row>
    <row r="40" spans="2:8" ht="18.75">
      <c r="B40" t="s">
        <v>96</v>
      </c>
      <c r="C40"/>
      <c r="D40" s="4"/>
      <c r="E40" s="4"/>
      <c r="F40" s="4"/>
      <c r="G40" s="4"/>
      <c r="H40" s="6"/>
    </row>
    <row r="41" spans="2:8" ht="18.75">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s="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s="4"/>
      <c r="D93" s="47"/>
      <c r="E93" s="4"/>
      <c r="F93" s="4"/>
      <c r="G93" s="4"/>
      <c r="H93" s="4"/>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c r="D97" s="4"/>
      <c r="E97" s="4"/>
      <c r="F97" s="4"/>
      <c r="G97" s="4"/>
      <c r="H97" s="6"/>
    </row>
    <row r="98" spans="3:8" ht="18.75">
      <c r="C98"/>
      <c r="D98" s="4"/>
      <c r="E98" s="4"/>
      <c r="F98" s="4"/>
      <c r="G98" s="4"/>
      <c r="H98" s="6"/>
    </row>
    <row r="99" spans="3:8" ht="18.75">
      <c r="C99" s="4"/>
      <c r="D99" s="47"/>
      <c r="E99" s="4"/>
      <c r="F99" s="4"/>
      <c r="G99" s="4"/>
      <c r="H99" s="6"/>
    </row>
    <row r="100" spans="3:8" ht="18.75">
      <c r="C100"/>
      <c r="D100" s="4"/>
      <c r="E100" s="4"/>
      <c r="F100" s="4"/>
      <c r="G100" s="4"/>
      <c r="H100" s="6"/>
    </row>
    <row r="101" spans="3:8" ht="18.75">
      <c r="C101"/>
      <c r="D101" s="4"/>
      <c r="E101" s="4"/>
      <c r="F101" s="4"/>
      <c r="G101" s="4"/>
      <c r="H101" s="6"/>
    </row>
    <row r="102" spans="3:8" ht="18.75">
      <c r="C102" s="43"/>
      <c r="D102" s="39"/>
      <c r="H102" s="36"/>
    </row>
    <row r="103" spans="3:8" ht="18.75">
      <c r="C103" s="43"/>
      <c r="D103" s="39"/>
      <c r="H103" s="36"/>
    </row>
  </sheetData>
  <autoFilter ref="E2:G103"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G97:G98 G100:G1048576 G1:G92</xm:sqref>
        </x14:dataValidation>
        <x14:dataValidation type="list" allowBlank="1" showInputMessage="1" showErrorMessage="1" xr:uid="{66D8840C-D443-486F-BC72-01200775D285}">
          <x14:formula1>
            <xm:f>プルダウン用!$D$3:$D$6</xm:f>
          </x14:formula1>
          <xm:sqref>F100:F1048576 F1:F98</xm:sqref>
        </x14:dataValidation>
        <x14:dataValidation type="list" allowBlank="1" showInputMessage="1" showErrorMessage="1" xr:uid="{D61B1C0A-2748-4606-B0EE-00EEC89A23C6}">
          <x14:formula1>
            <xm:f>プルダウン用!$F$3:$F$6</xm:f>
          </x14:formula1>
          <xm:sqref>E97:E98 E100:E1048576 E1:E92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0</v>
      </c>
      <c r="E3" s="28">
        <f>SUMIFS(コスト表!D:D, コスト表!B:B, "プレイヤー", コスト表!G:G, "作業中")</f>
        <v>1</v>
      </c>
      <c r="F3" s="28">
        <f>SUMIFS(コスト表!D:D, コスト表!B:B, "プレイヤー", コスト表!G:G, "未着手")</f>
        <v>8.5</v>
      </c>
      <c r="G3" s="24">
        <f>ROUNDDOWN(COUNTIFS(コスト表!B:B, "プレイヤー", コスト表!G:G, "完了") / COUNTIF(コスト表!B:B, "プレイヤー") * 100,1)</f>
        <v>0</v>
      </c>
      <c r="I3" s="15" t="s">
        <v>17</v>
      </c>
      <c r="J3" s="13">
        <f>SUMIF(コスト表!G:G,"完了",コスト表!D:D)</f>
        <v>0</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3</v>
      </c>
      <c r="K4" s="13">
        <f ca="1" xml:space="preserve"> ROUNDDOWN(J3 / J4,1)</f>
        <v>0</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0</v>
      </c>
      <c r="E6" s="28">
        <f>SUMIFS(コスト表!D:D, コスト表!B:B, "ステージ", コスト表!G:G, "作業中")</f>
        <v>0</v>
      </c>
      <c r="F6" s="28">
        <f>SUMIFS(コスト表!D:D,コスト表!B:B,"ステージ",コスト表!G:G,"未着手")</f>
        <v>1</v>
      </c>
      <c r="G6" s="24">
        <f>ROUNDDOWN(COUNTIFS(コスト表!B:B, "ステージ", コスト表!G:G, "完了") / COUNTIF(コスト表!B:B, "ステージ") * 100,1)</f>
        <v>0</v>
      </c>
      <c r="I6" s="18" t="s">
        <v>21</v>
      </c>
      <c r="J6" s="26">
        <f ca="1">TODAY()</f>
        <v>46058</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0</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由留部　瑛人</cp:lastModifiedBy>
  <cp:revision/>
  <dcterms:created xsi:type="dcterms:W3CDTF">2025-05-14T08:12:28Z</dcterms:created>
  <dcterms:modified xsi:type="dcterms:W3CDTF">2026-02-05T13:17:30Z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