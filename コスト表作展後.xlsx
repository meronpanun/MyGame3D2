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31813F5F-538F-4FAF-8960-987250B3F39B}" xr6:coauthVersionLast="47" xr6:coauthVersionMax="47" xr10:uidLastSave="{00000000-0000-0000-0000-000000000000}"/>
  <bookViews>
    <workbookView xWindow="4530" yWindow="1065" windowWidth="22950" windowHeight="128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コスト表!$E$2:$G$102</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<sst xmlns="http://schemas.openxmlformats.org/spreadsheetml/2006/main" count="154" uniqueCount="97">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</sst>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2"/>
  <sheetViews>
    <sheetView tabSelected="1" zoomScaleNormal="100" workbookViewId="0">
      <pane ySplit="2" topLeftCell="A25" activePane="bottomLeft" state="frozen"/>
      <selection pane="bottomLeft" activeCell="F39" sqref="F39"/>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12</v>
      </c>
      <c r="H4" s="36"/>
    </row>
    <row r="5" spans="2:8" ht="18.75">
      <c r="B5" s="34" t="s">
        <v>7</v>
      </c>
      <c r="C5" s="36" t="s">
        <v>47</v>
      </c>
      <c r="D5" s="39">
        <v>2</v>
      </c>
      <c r="E5" s="39" t="s">
        <v>13</v>
      </c>
      <c r="G5" s="39" t="s">
        <v>12</v>
      </c>
      <c r="H5" s="36" t="s">
        <v>49</v>
      </c>
    </row>
    <row r="6" spans="2:8" ht="18.75">
      <c r="B6" s="34" t="s">
        <v>82</v>
      </c>
      <c r="C6" s="36" t="s">
        <v>83</v>
      </c>
      <c r="D6" s="39">
        <v>0.5</v>
      </c>
      <c r="E6" s="39" t="s">
        <v>8</v>
      </c>
      <c r="G6" s="39" t="s">
        <v>12</v>
      </c>
      <c r="H6" s="36"/>
    </row>
    <row r="7" spans="2:8" ht="18.75">
      <c r="B7" s="34" t="s">
        <v>82</v>
      </c>
      <c r="C7" s="36" t="s">
        <v>84</v>
      </c>
      <c r="D7" s="39">
        <v>1</v>
      </c>
      <c r="E7" s="39" t="s">
        <v>8</v>
      </c>
      <c r="G7" s="39" t="s">
        <v>12</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12</v>
      </c>
      <c r="H9" s="42"/>
    </row>
    <row r="10" spans="2:8" ht="18.75">
      <c r="B10" s="34" t="s">
        <v>41</v>
      </c>
      <c r="C10" s="36" t="s">
        <v>46</v>
      </c>
      <c r="D10" s="39">
        <v>0.5</v>
      </c>
      <c r="E10" s="39" t="s">
        <v>8</v>
      </c>
      <c r="G10" s="39" t="s">
        <v>12</v>
      </c>
      <c r="H10" s="36"/>
    </row>
    <row r="11" spans="2:8" ht="18.75">
      <c r="B11" s="34" t="s">
        <v>41</v>
      </c>
      <c r="C11" s="43" t="s">
        <v>48</v>
      </c>
      <c r="D11" s="39">
        <v>0.5</v>
      </c>
      <c r="E11" s="39" t="s">
        <v>13</v>
      </c>
      <c r="G11" s="39" t="s">
        <v>12</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11</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12</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12</v>
      </c>
      <c r="H17" s="42"/>
    </row>
    <row r="18" spans="2:8" ht="18.75">
      <c r="B18" s="34" t="s">
        <v>42</v>
      </c>
      <c r="C18" s="36" t="s">
        <v>46</v>
      </c>
      <c r="D18" s="39">
        <v>0.5</v>
      </c>
      <c r="E18" s="39" t="s">
        <v>13</v>
      </c>
      <c r="G18" s="39" t="s">
        <v>12</v>
      </c>
      <c r="H18" s="36"/>
    </row>
    <row r="19" spans="2:8" ht="18.75">
      <c r="B19" s="34" t="s">
        <v>42</v>
      </c>
      <c r="C19" s="43" t="s">
        <v>48</v>
      </c>
      <c r="D19" s="39">
        <v>0.5</v>
      </c>
      <c r="E19" s="39" t="s">
        <v>13</v>
      </c>
      <c r="G19" s="39" t="s">
        <v>12</v>
      </c>
      <c r="H19" s="36" t="s">
        <v>62</v>
      </c>
    </row>
    <row r="20" spans="2:8" ht="19.5" thickBot="1">
      <c r="B20" s="35"/>
      <c r="C20" s="44"/>
      <c r="D20" s="40"/>
      <c r="E20" s="40"/>
      <c r="F20" s="40"/>
      <c r="G20" s="40"/>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12</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s="6"/>
      <c r="D65" s="4"/>
      <c r="E65" s="4"/>
      <c r="F65" s="4"/>
      <c r="G65" s="4"/>
      <c r="H65" s="6"/>
    </row>
    <row r="66" spans="3:8" ht="18.75">
      <c r="C6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s="4"/>
      <c r="D92" s="47"/>
      <c r="E92" s="4"/>
      <c r="F92" s="4"/>
      <c r="G92" s="4"/>
      <c r="H92" s="4"/>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c r="D96" s="4"/>
      <c r="E96" s="4"/>
      <c r="F96" s="4"/>
      <c r="G96" s="4"/>
      <c r="H96" s="6"/>
    </row>
    <row r="97" spans="3:8" ht="18.75">
      <c r="C97"/>
      <c r="D97" s="4"/>
      <c r="E97" s="4"/>
      <c r="F97" s="4"/>
      <c r="G97" s="4"/>
      <c r="H97" s="6"/>
    </row>
    <row r="98" spans="3:8" ht="18.75">
      <c r="C98" s="4"/>
      <c r="D98" s="47"/>
      <c r="E98" s="4"/>
      <c r="F98" s="4"/>
      <c r="G98" s="4"/>
      <c r="H98" s="6"/>
    </row>
    <row r="99" spans="3:8" ht="18.75">
      <c r="C99"/>
      <c r="D99" s="4"/>
      <c r="E99" s="4"/>
      <c r="F99" s="4"/>
      <c r="G99" s="4"/>
      <c r="H99" s="6"/>
    </row>
    <row r="100" spans="3:8" ht="18.75">
      <c r="C100"/>
      <c r="D100" s="4"/>
      <c r="E100" s="4"/>
      <c r="F100" s="4"/>
      <c r="G100" s="4"/>
      <c r="H100" s="6"/>
    </row>
    <row r="101" spans="3:8" ht="18.75">
      <c r="C101" s="43"/>
      <c r="D101" s="39"/>
      <c r="H101" s="36"/>
    </row>
    <row r="102" spans="3:8" ht="18.75">
      <c r="C102" s="43"/>
      <c r="D102" s="39"/>
      <c r="H102" s="36"/>
    </row>
  </sheetData>
  <autoFilter ref="E2:G102"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G96:G97 G99:G1048576 G1:G91</xm:sqref>
        </x14:dataValidation>
        <x14:dataValidation type="list" allowBlank="1" showInputMessage="1" showErrorMessage="1" xr:uid="{66D8840C-D443-486F-BC72-01200775D285}">
          <x14:formula1>
            <xm:f>プルダウン用!$D$3:$D$6</xm:f>
          </x14:formula1>
          <xm:sqref>F99:F1048576 F1:F97</xm:sqref>
        </x14:dataValidation>
        <x14:dataValidation type="list" allowBlank="1" showInputMessage="1" showErrorMessage="1" xr:uid="{D61B1C0A-2748-4606-B0EE-00EEC89A23C6}">
          <x14:formula1>
            <xm:f>プルダウン用!$F$3:$F$6</xm:f>
          </x14:formula1>
          <xm:sqref>E96:E97 E99:E1048576 E1:E91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6.5</v>
      </c>
      <c r="E3" s="28">
        <f>SUMIFS(コスト表!D:D, コスト表!B:B, "プレイヤー", コスト表!G:G, "作業中")</f>
        <v>0</v>
      </c>
      <c r="F3" s="28">
        <f>SUMIFS(コスト表!D:D, コスト表!B:B, "プレイヤー", コスト表!G:G, "未着手")</f>
        <v>3</v>
      </c>
      <c r="G3" s="24">
        <f>ROUNDDOWN(COUNTIFS(コスト表!B:B, "プレイヤー", コスト表!G:G, "完了") / COUNTIF(コスト表!B:B, "プレイヤー") * 100,1)</f>
        <v>83.3</v>
      </c>
      <c r="I3" s="15" t="s">
        <v>17</v>
      </c>
      <c r="J3" s="13">
        <f>SUMIF(コスト表!G:G,"完了",コスト表!D:D)</f>
        <v>14.5</v>
      </c>
      <c r="K3" s="12" t="s">
        <v>18</v>
      </c>
      <c r="M3" s="12"/>
    </row>
    <row r="4" spans="2:13" ht="19.5">
      <c r="B4" s="1" t="s">
        <v>66</v>
      </c>
      <c r="C4" s="8">
        <f>SUMIF(コスト表!B:B, B4, コスト表!D:D)</f>
        <v>8</v>
      </c>
      <c r="D4" s="28">
        <f>SUMIFS(コスト表!D:D, コスト表!B:B, "敵", コスト表!G:G, "完了")</f>
        <v>3</v>
      </c>
      <c r="E4" s="28">
        <f>SUMIFS(コスト表!D:D, コスト表!B:B, "敵", コスト表!G:G, "作業中")</f>
        <v>1</v>
      </c>
      <c r="F4" s="28">
        <f>SUMIFS(コスト表!D:D, コスト表!B:B, "敵", コスト表!G:G, "未着手")</f>
        <v>4</v>
      </c>
      <c r="G4" s="24">
        <f>ROUNDDOWN(COUNTIFS(コスト表!B:B, "敵", コスト表!G:G, "完了") / COUNTIF(コスト表!B:B, "敵") * 100,1)</f>
        <v>50</v>
      </c>
      <c r="I4" s="16" t="s">
        <v>19</v>
      </c>
      <c r="J4" s="13">
        <f ca="1">NETWORKDAYS(J5,J6)</f>
        <v>6</v>
      </c>
      <c r="K4" s="13">
        <f ca="1" xml:space="preserve"> ROUNDDOWN(J3 / J4,1)</f>
        <v>2.4</v>
      </c>
      <c r="M4" s="12"/>
    </row>
    <row r="5" spans="2:13" ht="19.5">
      <c r="B5" s="7" t="s">
        <v>67</v>
      </c>
      <c r="C5" s="8">
        <f>SUMIF(コスト表!B:B, B5, コスト表!D:D)</f>
        <v>2</v>
      </c>
      <c r="D5" s="28">
        <f>SUMIFS(コスト表!D:D, コスト表!B:B, "Boss", コスト表!G:G, "完了")</f>
        <v>2</v>
      </c>
      <c r="E5" s="28">
        <f>SUMIFS(コスト表!D:D, コスト表!B:B, "Boss", コスト表!G:G, "作業中")</f>
        <v>0</v>
      </c>
      <c r="F5" s="28">
        <f>SUMIFS(コスト表!D:D, コスト表!B:B, "Boss", コスト表!G:G, "未着手")</f>
        <v>0</v>
      </c>
      <c r="G5" s="24">
        <f>ROUNDDOWN(COUNTIFS(コスト表!B:B, "Boss", コスト表!G:G, "完了") / COUNTIF(コスト表!B:B, "Boss") * 100,1)</f>
        <v>100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46063</v>
      </c>
      <c r="K6" s="26"/>
      <c r="L6" s="12"/>
      <c r="M6" s="12"/>
    </row>
    <row r="7" spans="2:13" ht="19.5">
      <c r="B7" s="7" t="s">
        <v>77</v>
      </c>
      <c r="C7" s="8">
        <f>SUMIF(コスト表!B:B, B7, コスト表!D:D)</f>
        <v>2</v>
      </c>
      <c r="D7" s="28">
        <f>SUMIFS(コスト表!D:D, コスト表!B:B, "チュートリアル", コスト表!G:G, "完了")</f>
        <v>2</v>
      </c>
      <c r="E7" s="28">
        <f>SUMIFS(コスト表!D:D, コスト表!B:B, "チュートリアル", コスト表!G:G, "作業中")</f>
        <v>0</v>
      </c>
      <c r="F7" s="28">
        <f>SUMIFS(コスト表!D:D,コスト表!B:B,"チュートリアル",コスト表!G:G,"未着手")</f>
        <v>0</v>
      </c>
      <c r="G7" s="24">
        <f>ROUNDDOWN(COUNTIFS(コスト表!B:B, "チュートリアル", コスト表!G:G, "完了") / COUNTIF(コスト表!B:B, "チュートリアル") * 100,1)</f>
        <v>100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63.6</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2026-02-10T00:38:33Z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