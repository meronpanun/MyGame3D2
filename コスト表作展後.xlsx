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3E111C7F-93A6-4D52-BAA6-6BE1108B1936}" xr6:coauthVersionLast="47" xr6:coauthVersionMax="47" xr10:uidLastSave="{00000000-0000-0000-0000-000000000000}"/>
  <bookViews>
    <workbookView xWindow="4035" yWindow="3570" windowWidth="22950" windowHeight="10830"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<sst xmlns="http://schemas.openxmlformats.org/spreadsheetml/2006/main" count="155" uniqueCount="97">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</sst>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G6" sqref="G6"/>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82</v>
      </c>
      <c r="C6" s="36" t="s">
        <v>83</v>
      </c>
      <c r="D6" s="39">
        <v>0.5</v>
      </c>
      <c r="E6" s="39" t="s">
        <v>8</v>
      </c>
      <c r="G6" s="39" t="s">
        <v>12</v>
      </c>
      <c r="H6" s="36"/>
    </row>
    <row r="7" spans="2:8" ht="18.75">
      <c r="B7" s="34" t="s">
        <v>82</v>
      </c>
      <c r="C7" s="36" t="s">
        <v>84</v>
      </c>
      <c r="D7" s="39">
        <v>1</v>
      </c>
      <c r="E7" s="39" t="s">
        <v>8</v>
      </c>
      <c r="G7" s="39" t="s">
        <v>11</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1.5</v>
      </c>
      <c r="E3" s="28">
        <f>SUMIFS(コスト表!D:D, コスト表!B:B, "プレイヤー", コスト表!G:G, "作業中")</f>
        <v>1</v>
      </c>
      <c r="F3" s="28">
        <f>SUMIFS(コスト表!D:D, コスト表!B:B, "プレイヤー", コスト表!G:G, "未着手")</f>
        <v>7</v>
      </c>
      <c r="G3" s="24">
        <f>ROUNDDOWN(COUNTIFS(コスト表!B:B, "プレイヤー", コスト表!G:G, "完了") / COUNTIF(コスト表!B:B, "プレイヤー") * 100,1)</f>
        <v>33.299999999999997</v>
      </c>
      <c r="I3" s="15" t="s">
        <v>17</v>
      </c>
      <c r="J3" s="13">
        <f>SUMIF(コスト表!G:G,"完了",コスト表!D:D)</f>
        <v>2.5</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4</v>
      </c>
      <c r="K4" s="13">
        <f ca="1" xml:space="preserve"> ROUNDDOWN(J3 / J4,1)</f>
        <v>0.6</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46059</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13</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2026-02-06T06:45:38Z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