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E0BA4372-0918-4813-834F-3AE57C2EA4AC}" xr6:coauthVersionLast="47" xr6:coauthVersionMax="47" xr10:uidLastSave="{00000000-0000-0000-0000-000000000000}"/>
  <bookViews>
    <workbookView xWindow="4530" yWindow="1065" windowWidth="22950"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コスト表!$E$2:$G$98</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<sst xmlns="http://schemas.openxmlformats.org/spreadsheetml/2006/main" count="150" uniqueCount="93">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</sst>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98"/>
  <sheetViews>
    <sheetView tabSelected="1" zoomScaleNormal="100" workbookViewId="0">
      <pane ySplit="2" topLeftCell="A18" activePane="bottomLeft" state="frozen"/>
      <selection pane="bottomLeft" activeCell="C28" sqref="C28"/>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12</v>
      </c>
      <c r="H4" s="36"/>
    </row>
    <row r="5" spans="2:8" ht="18.75">
      <c r="B5" s="34" t="s">
        <v>7</v>
      </c>
      <c r="C5" s="36" t="s">
        <v>47</v>
      </c>
      <c r="D5" s="39">
        <v>2</v>
      </c>
      <c r="E5" s="39" t="s">
        <v>13</v>
      </c>
      <c r="G5" s="39" t="s">
        <v>12</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12</v>
      </c>
      <c r="H9" s="42"/>
    </row>
    <row r="10" spans="2:8" ht="18.75">
      <c r="B10" s="34" t="s">
        <v>41</v>
      </c>
      <c r="C10" s="36" t="s">
        <v>46</v>
      </c>
      <c r="D10" s="39">
        <v>0.5</v>
      </c>
      <c r="E10" s="39" t="s">
        <v>8</v>
      </c>
      <c r="G10" s="39" t="s">
        <v>12</v>
      </c>
      <c r="H10" s="36"/>
    </row>
    <row r="11" spans="2:8" ht="18.75">
      <c r="B11" s="34" t="s">
        <v>41</v>
      </c>
      <c r="C11" s="43" t="s">
        <v>48</v>
      </c>
      <c r="D11" s="39">
        <v>0.5</v>
      </c>
      <c r="E11" s="39" t="s">
        <v>13</v>
      </c>
      <c r="G11" s="39" t="s">
        <v>12</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11</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12</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12</v>
      </c>
      <c r="H17" s="42"/>
    </row>
    <row r="18" spans="2:8" ht="18.75">
      <c r="B18" s="34" t="s">
        <v>42</v>
      </c>
      <c r="C18" s="36" t="s">
        <v>46</v>
      </c>
      <c r="D18" s="39">
        <v>0.5</v>
      </c>
      <c r="E18" s="39" t="s">
        <v>13</v>
      </c>
      <c r="G18" s="39" t="s">
        <v>12</v>
      </c>
      <c r="H18" s="36"/>
    </row>
    <row r="19" spans="2:8" ht="18.75">
      <c r="B19" s="34" t="s">
        <v>42</v>
      </c>
      <c r="C19" s="43" t="s">
        <v>48</v>
      </c>
      <c r="D19" s="39">
        <v>0.5</v>
      </c>
      <c r="E19" s="39" t="s">
        <v>13</v>
      </c>
      <c r="G19" s="39" t="s">
        <v>12</v>
      </c>
      <c r="H19" s="36" t="s">
        <v>62</v>
      </c>
    </row>
    <row r="20" spans="2:8" ht="19.5" thickBot="1">
      <c r="B20" s="35"/>
      <c r="C20" s="44"/>
      <c r="D20" s="40"/>
      <c r="E20" s="40"/>
      <c r="F20" s="40"/>
      <c r="G20" s="40"/>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12</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86</v>
      </c>
      <c r="C30"/>
      <c r="D30" s="4"/>
      <c r="E30" s="4"/>
      <c r="F30" s="4"/>
      <c r="G30" s="4"/>
      <c r="H30" s="4"/>
    </row>
    <row r="31" spans="2:8" ht="18.75">
      <c r="B31" t="s">
        <v>88</v>
      </c>
      <c r="C31"/>
      <c r="D31" s="4"/>
      <c r="E31" s="4"/>
      <c r="F31" s="4"/>
      <c r="G31" s="4"/>
      <c r="H31" s="6"/>
    </row>
    <row r="32" spans="2:8" ht="18.75">
      <c r="B32" t="s">
        <v>89</v>
      </c>
      <c r="C32"/>
      <c r="D32" s="4"/>
      <c r="E32" s="4"/>
      <c r="F32" s="4"/>
      <c r="G32" s="4"/>
      <c r="H32" s="6"/>
    </row>
    <row r="33" spans="2:8" ht="18.75">
      <c r="B33" t="s">
        <v>90</v>
      </c>
      <c r="C33"/>
      <c r="D33" s="4"/>
      <c r="E33" s="4"/>
      <c r="F33" s="4"/>
      <c r="G33" s="4"/>
      <c r="H33" s="6"/>
    </row>
    <row r="34" spans="2:8" ht="18.75">
      <c r="B34" t="s">
        <v>91</v>
      </c>
      <c r="C34"/>
      <c r="D34" s="4"/>
      <c r="E34" s="4"/>
      <c r="F34" s="4"/>
      <c r="G34" s="4"/>
      <c r="H34" s="6"/>
    </row>
    <row r="35" spans="2:8" ht="18.75">
      <c r="B35" t="s">
        <v>85</v>
      </c>
      <c r="C35"/>
      <c r="D35" s="4"/>
      <c r="E35" s="4"/>
      <c r="F35" s="4"/>
      <c r="G35" s="4"/>
      <c r="H35" s="6"/>
    </row>
    <row r="36" spans="2:8" ht="18.75">
      <c r="B36" t="s">
        <v>92</v>
      </c>
      <c r="C36"/>
      <c r="D36" s="4"/>
      <c r="E36" s="4"/>
      <c r="F36" s="4"/>
      <c r="G36" s="4"/>
      <c r="H36" s="6"/>
    </row>
    <row r="37" spans="2:8" ht="18.75">
      <c r="C37"/>
      <c r="D37" s="4"/>
      <c r="E37" s="4"/>
      <c r="F37" s="4"/>
      <c r="G37" s="4"/>
      <c r="H37" s="6"/>
    </row>
    <row r="38" spans="2:8" ht="18.75">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s="6"/>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s="4"/>
      <c r="D88" s="47"/>
      <c r="E88" s="4"/>
      <c r="F88" s="4"/>
      <c r="G88" s="4"/>
      <c r="H88" s="4"/>
    </row>
    <row r="89" spans="3:8" ht="18.75">
      <c r="C89" s="4"/>
      <c r="D89" s="47"/>
      <c r="E89" s="4"/>
      <c r="F89" s="4"/>
      <c r="G89" s="4"/>
      <c r="H89" s="4"/>
    </row>
    <row r="90" spans="3:8" ht="18.75">
      <c r="C90" s="4"/>
      <c r="D90" s="47"/>
      <c r="E90" s="4"/>
      <c r="F90" s="4"/>
      <c r="G90" s="4"/>
      <c r="H90" s="4"/>
    </row>
    <row r="91" spans="3:8" ht="18.75">
      <c r="C91" s="4"/>
      <c r="D91" s="47"/>
      <c r="E91" s="4"/>
      <c r="F91" s="4"/>
      <c r="G91" s="4"/>
      <c r="H91" s="4"/>
    </row>
    <row r="92" spans="3:8" ht="18.75">
      <c r="C92"/>
      <c r="D92" s="4"/>
      <c r="E92" s="4"/>
      <c r="F92" s="4"/>
      <c r="G92" s="4"/>
      <c r="H92" s="6"/>
    </row>
    <row r="93" spans="3:8" ht="18.75">
      <c r="C93"/>
      <c r="D93" s="4"/>
      <c r="E93" s="4"/>
      <c r="F93" s="4"/>
      <c r="G93" s="4"/>
      <c r="H93" s="6"/>
    </row>
    <row r="94" spans="3:8" ht="18.75">
      <c r="C94" s="4"/>
      <c r="D94" s="47"/>
      <c r="E94" s="4"/>
      <c r="F94" s="4"/>
      <c r="G94" s="4"/>
      <c r="H94" s="6"/>
    </row>
    <row r="95" spans="3:8" ht="18.75">
      <c r="C95"/>
      <c r="D95" s="4"/>
      <c r="E95" s="4"/>
      <c r="F95" s="4"/>
      <c r="G95" s="4"/>
      <c r="H95" s="6"/>
    </row>
    <row r="96" spans="3:8" ht="18.75">
      <c r="C96"/>
      <c r="D96" s="4"/>
      <c r="E96" s="4"/>
      <c r="F96" s="4"/>
      <c r="G96" s="4"/>
      <c r="H96" s="6"/>
    </row>
    <row r="97" spans="3:8" ht="18.75">
      <c r="C97" s="43"/>
      <c r="D97" s="39"/>
      <c r="H97" s="36"/>
    </row>
    <row r="98" spans="3:8" ht="18.75">
      <c r="C98" s="43"/>
      <c r="D98" s="39"/>
      <c r="H98" s="36"/>
    </row>
  </sheetData>
  <autoFilter ref="E2:G98"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G92:G93 G95:G1048576 G1:G87</xm:sqref>
        </x14:dataValidation>
        <x14:dataValidation type="list" allowBlank="1" showInputMessage="1" showErrorMessage="1" xr:uid="{66D8840C-D443-486F-BC72-01200775D285}">
          <x14:formula1>
            <xm:f>プルダウン用!$D$3:$D$6</xm:f>
          </x14:formula1>
          <xm:sqref>F95:F1048576 F1:F93</xm:sqref>
        </x14:dataValidation>
        <x14:dataValidation type="list" allowBlank="1" showInputMessage="1" showErrorMessage="1" xr:uid="{D61B1C0A-2748-4606-B0EE-00EEC89A23C6}">
          <x14:formula1>
            <xm:f>プルダウン用!$F$3:$F$6</xm:f>
          </x14:formula1>
          <xm:sqref>E92:E93 E95:E1048576 E1:E87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6.5</v>
      </c>
      <c r="E3" s="28">
        <f>SUMIFS(コスト表!D:D, コスト表!B:B, "プレイヤー", コスト表!G:G, "作業中")</f>
        <v>0</v>
      </c>
      <c r="F3" s="28">
        <f>SUMIFS(コスト表!D:D, コスト表!B:B, "プレイヤー", コスト表!G:G, "未着手")</f>
        <v>3</v>
      </c>
      <c r="G3" s="24">
        <f>ROUNDDOWN(COUNTIFS(コスト表!B:B, "プレイヤー", コスト表!G:G, "完了") / COUNTIF(コスト表!B:B, "プレイヤー") * 100,1)</f>
        <v>83.3</v>
      </c>
      <c r="I3" s="15" t="s">
        <v>17</v>
      </c>
      <c r="J3" s="13">
        <f>SUMIF(コスト表!G:G,"完了",コスト表!D:D)</f>
        <v>14.5</v>
      </c>
      <c r="K3" s="12" t="s">
        <v>18</v>
      </c>
      <c r="M3" s="12"/>
    </row>
    <row r="4" spans="2:13" ht="19.5">
      <c r="B4" s="1" t="s">
        <v>66</v>
      </c>
      <c r="C4" s="8">
        <f>SUMIF(コスト表!B:B, B4, コスト表!D:D)</f>
        <v>8</v>
      </c>
      <c r="D4" s="28">
        <f>SUMIFS(コスト表!D:D, コスト表!B:B, "敵", コスト表!G:G, "完了")</f>
        <v>3</v>
      </c>
      <c r="E4" s="28">
        <f>SUMIFS(コスト表!D:D, コスト表!B:B, "敵", コスト表!G:G, "作業中")</f>
        <v>1</v>
      </c>
      <c r="F4" s="28">
        <f>SUMIFS(コスト表!D:D, コスト表!B:B, "敵", コスト表!G:G, "未着手")</f>
        <v>4</v>
      </c>
      <c r="G4" s="24">
        <f>ROUNDDOWN(COUNTIFS(コスト表!B:B, "敵", コスト表!G:G, "完了") / COUNTIF(コスト表!B:B, "敵") * 100,1)</f>
        <v>50</v>
      </c>
      <c r="I4" s="16" t="s">
        <v>19</v>
      </c>
      <c r="J4" s="13">
        <f ca="1">NETWORKDAYS(J5,J6)</f>
        <v>6</v>
      </c>
      <c r="K4" s="13">
        <f ca="1" xml:space="preserve"> ROUNDDOWN(J3 / J4,1)</f>
        <v>2.4</v>
      </c>
      <c r="M4" s="12"/>
    </row>
    <row r="5" spans="2:13" ht="19.5">
      <c r="B5" s="7" t="s">
        <v>67</v>
      </c>
      <c r="C5" s="8">
        <f>SUMIF(コスト表!B:B, B5, コスト表!D:D)</f>
        <v>2</v>
      </c>
      <c r="D5" s="28">
        <f>SUMIFS(コスト表!D:D, コスト表!B:B, "Boss", コスト表!G:G, "完了")</f>
        <v>2</v>
      </c>
      <c r="E5" s="28">
        <f>SUMIFS(コスト表!D:D, コスト表!B:B, "Boss", コスト表!G:G, "作業中")</f>
        <v>0</v>
      </c>
      <c r="F5" s="28">
        <f>SUMIFS(コスト表!D:D, コスト表!B:B, "Boss", コスト表!G:G, "未着手")</f>
        <v>0</v>
      </c>
      <c r="G5" s="24">
        <f>ROUNDDOWN(COUNTIFS(コスト表!B:B, "Boss", コスト表!G:G, "完了") / COUNTIF(コスト表!B:B, "Boss") * 100,1)</f>
        <v>100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46063</v>
      </c>
      <c r="K6" s="26"/>
      <c r="L6" s="12"/>
      <c r="M6" s="12"/>
    </row>
    <row r="7" spans="2:13" ht="19.5">
      <c r="B7" s="7" t="s">
        <v>77</v>
      </c>
      <c r="C7" s="8">
        <f>SUMIF(コスト表!B:B, B7, コスト表!D:D)</f>
        <v>2</v>
      </c>
      <c r="D7" s="28">
        <f>SUMIFS(コスト表!D:D, コスト表!B:B, "チュートリアル", コスト表!G:G, "完了")</f>
        <v>2</v>
      </c>
      <c r="E7" s="28">
        <f>SUMIFS(コスト表!D:D, コスト表!B:B, "チュートリアル", コスト表!G:G, "作業中")</f>
        <v>0</v>
      </c>
      <c r="F7" s="28">
        <f>SUMIFS(コスト表!D:D,コスト表!B:B,"チュートリアル",コスト表!G:G,"未着手")</f>
        <v>0</v>
      </c>
      <c r="G7" s="24">
        <f>ROUNDDOWN(COUNTIFS(コスト表!B:B, "チュートリアル", コスト表!G:G, "完了") / COUNTIF(コスト表!B:B, "チュートリアル") * 100,1)</f>
        <v>100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63.6</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2026-02-10T04:59:50Z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