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由留部 瑛人.FICPCROOMB14\Documents\GitHub\MyGame3D2\"/>
    </mc:Choice>
  </mc:AlternateContent>
  <xr:revisionPtr revIDLastSave="0" documentId="13_ncr:1_{FFD95B4E-9C1D-4106-875A-B989E12871D7}" xr6:coauthVersionLast="47" xr6:coauthVersionMax="47" xr10:uidLastSave="{00000000-0000-0000-0000-000000000000}"/>
  <bookViews>
    <workbookView xWindow="2220" yWindow="3345" windowWidth="24600" windowHeight="11025" activeTab="1" xr2:uid="{00000000-000D-0000-FFFF-FFFF00000000}"/>
  </bookViews>
  <sheets>
    <sheet name="コスト表" sheetId="1" r:id="rId1"/>
    <sheet name="集計" sheetId="2" r:id="rId2"/>
    <sheet name="プルダウン用" sheetId="3" r:id="rId3"/>
  </sheets>
  <definedNames>
    <definedName name="_xlnm._FilterDatabase" localSheetId="0" hidden="1">コスト表!$E$2:$G$122</definedName>
    <definedName name="_xlnm._FilterDatabase" localSheetId="1" hidden="1">集計!$B$2:$G$21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K10" i="2"/>
  <c r="L10" i="2"/>
  <c r="J11" i="2"/>
  <c r="K11" i="2"/>
  <c r="L11" i="2"/>
  <c r="J12" i="2"/>
  <c r="K12" i="2"/>
  <c r="L12" i="2"/>
  <c r="J5" i="2"/>
  <c r="G15" i="2"/>
  <c r="G14" i="2"/>
  <c r="F15" i="2"/>
  <c r="E15" i="2"/>
  <c r="D15" i="2"/>
  <c r="D14" i="2"/>
  <c r="C15" i="2"/>
  <c r="C14" i="2"/>
  <c r="F14" i="2"/>
  <c r="E14" i="2"/>
  <c r="F13" i="2"/>
  <c r="E13" i="2"/>
  <c r="D13" i="2"/>
  <c r="F12" i="2"/>
  <c r="E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C7" i="2"/>
  <c r="F6" i="2"/>
  <c r="E6" i="2"/>
  <c r="D6" i="2"/>
  <c r="C6" i="2"/>
  <c r="F5" i="2"/>
  <c r="E5" i="2"/>
  <c r="D5" i="2"/>
  <c r="F4" i="2"/>
  <c r="E4" i="2"/>
  <c r="D4" i="2"/>
  <c r="F3" i="2"/>
  <c r="E3" i="2"/>
  <c r="D3" i="2"/>
  <c r="G4" i="2"/>
  <c r="G13" i="2" l="1"/>
  <c r="G12" i="2"/>
  <c r="D12" i="2"/>
  <c r="C13" i="2"/>
  <c r="C12" i="2"/>
  <c r="G10" i="2"/>
  <c r="G9" i="2"/>
  <c r="G8" i="2"/>
  <c r="C9" i="2"/>
  <c r="C10" i="2"/>
  <c r="G3" i="2" l="1"/>
  <c r="G5" i="2"/>
  <c r="C4" i="2"/>
  <c r="C5" i="2"/>
  <c r="G7" i="2"/>
  <c r="G16" i="2"/>
  <c r="G11" i="2"/>
  <c r="G6" i="2"/>
  <c r="C11" i="2" l="1"/>
  <c r="J6" i="2"/>
  <c r="J3" i="2"/>
  <c r="C3" i="2"/>
  <c r="C8" i="2" l="1"/>
  <c r="J4" i="2"/>
  <c r="K4" i="2" s="1"/>
  <c r="J2" i="2" l="1"/>
</calcChain>
</file>

<file path=xl/sharedStrings.xml><?xml version="1.0" encoding="utf-8"?>
<sst xmlns="http://schemas.openxmlformats.org/spreadsheetml/2006/main" count="423" uniqueCount="137">
  <si>
    <t>分類</t>
  </si>
  <si>
    <t>タスク</t>
  </si>
  <si>
    <t>コスト(時間)</t>
  </si>
  <si>
    <t>優先度</t>
  </si>
  <si>
    <t>制作段階</t>
  </si>
  <si>
    <t>進捗</t>
  </si>
  <si>
    <t>備考</t>
  </si>
  <si>
    <t>プレイヤー</t>
  </si>
  <si>
    <t>S</t>
  </si>
  <si>
    <t>未着手</t>
  </si>
  <si>
    <t>B</t>
  </si>
  <si>
    <t>作業中</t>
  </si>
  <si>
    <t>完了</t>
  </si>
  <si>
    <t>A</t>
  </si>
  <si>
    <t>進捗段階</t>
  </si>
  <si>
    <t>C</t>
  </si>
  <si>
    <t>総コスト</t>
  </si>
  <si>
    <t>消化コスト</t>
  </si>
  <si>
    <t>消費コスト / 日数</t>
  </si>
  <si>
    <t>現在の日数(土日除く)</t>
  </si>
  <si>
    <t>開始日</t>
  </si>
  <si>
    <t>今日の日付</t>
  </si>
  <si>
    <t>プレイヤー</t>
    <phoneticPr fontId="1"/>
  </si>
  <si>
    <t>死亡アニメーション</t>
    <phoneticPr fontId="1"/>
  </si>
  <si>
    <t>敵1(通常ゾンビ)</t>
    <rPh sb="0" eb="1">
      <t>テキ</t>
    </rPh>
    <rPh sb="3" eb="5">
      <t>ツウジョウ</t>
    </rPh>
    <phoneticPr fontId="1"/>
  </si>
  <si>
    <t>敵2(ランナーゾンビ)</t>
    <rPh sb="0" eb="1">
      <t>テキ</t>
    </rPh>
    <phoneticPr fontId="1"/>
  </si>
  <si>
    <t>待機アニメーション</t>
    <rPh sb="0" eb="2">
      <t>タイキ</t>
    </rPh>
    <phoneticPr fontId="1"/>
  </si>
  <si>
    <t>視野角や距離で検知する仕組み</t>
    <phoneticPr fontId="1"/>
  </si>
  <si>
    <t>エフェクト</t>
    <phoneticPr fontId="1"/>
  </si>
  <si>
    <t xml:space="preserve">	ウェーブカウント管理</t>
    <phoneticPr fontId="1"/>
  </si>
  <si>
    <t>現在のウェーブ番号・敵最大数の保持</t>
    <rPh sb="10" eb="11">
      <t>テキ</t>
    </rPh>
    <phoneticPr fontId="1"/>
  </si>
  <si>
    <t>ウェーブ開始/終了の判定制御</t>
    <phoneticPr fontId="1"/>
  </si>
  <si>
    <t>出現位置・タイミングの制御</t>
    <phoneticPr fontId="1"/>
  </si>
  <si>
    <t>複数地点、時間差、ランダム等</t>
    <phoneticPr fontId="1"/>
  </si>
  <si>
    <t xml:space="preserve">出現数の動的調整 </t>
    <phoneticPr fontId="1"/>
  </si>
  <si>
    <t>アイテム</t>
  </si>
  <si>
    <t>アイテム</t>
    <phoneticPr fontId="1"/>
  </si>
  <si>
    <t>エフェクト</t>
    <phoneticPr fontId="1"/>
  </si>
  <si>
    <t>タイトル</t>
    <phoneticPr fontId="1"/>
  </si>
  <si>
    <t>ロゴ</t>
    <phoneticPr fontId="1"/>
  </si>
  <si>
    <t>シーン遷移</t>
    <rPh sb="3" eb="5">
      <t>センイ</t>
    </rPh>
    <phoneticPr fontId="1"/>
  </si>
  <si>
    <t>フェード</t>
    <phoneticPr fontId="1"/>
  </si>
  <si>
    <t>オプション</t>
    <phoneticPr fontId="1"/>
  </si>
  <si>
    <t>サウンド</t>
    <phoneticPr fontId="1"/>
  </si>
  <si>
    <t>BGM、SE</t>
    <phoneticPr fontId="1"/>
  </si>
  <si>
    <t>マウス感度</t>
    <rPh sb="3" eb="5">
      <t>カンド</t>
    </rPh>
    <phoneticPr fontId="1"/>
  </si>
  <si>
    <t>侵入シーンへ返す</t>
    <phoneticPr fontId="1"/>
  </si>
  <si>
    <t>進捗率 (%)</t>
  </si>
  <si>
    <t>合計進捗率</t>
    <rPh sb="0" eb="5">
      <t>ゴウケイシンチョクリツ</t>
    </rPh>
    <phoneticPr fontId="1"/>
  </si>
  <si>
    <t>コスト合計</t>
  </si>
  <si>
    <t>進捗率(%)</t>
  </si>
  <si>
    <t>削除</t>
    <rPh sb="0" eb="2">
      <t>サクジョ</t>
    </rPh>
    <phoneticPr fontId="1"/>
  </si>
  <si>
    <t>ボス(ゾンビを召喚)</t>
  </si>
  <si>
    <t>ボス(ゾンビを召喚)</t>
    <phoneticPr fontId="1"/>
  </si>
  <si>
    <t>アニメーション</t>
  </si>
  <si>
    <t>弾薬</t>
    <rPh sb="0" eb="2">
      <t>ダンヤク</t>
    </rPh>
    <phoneticPr fontId="1"/>
  </si>
  <si>
    <t>アイテム</t>
    <phoneticPr fontId="1"/>
  </si>
  <si>
    <t>回復</t>
    <rPh sb="0" eb="2">
      <t>カイフク</t>
    </rPh>
    <phoneticPr fontId="1"/>
  </si>
  <si>
    <t>1コス=1時間</t>
    <rPh sb="5" eb="7">
      <t>ジカン</t>
    </rPh>
    <phoneticPr fontId="1"/>
  </si>
  <si>
    <t>プレイヤー</t>
    <phoneticPr fontId="1"/>
  </si>
  <si>
    <t>武器切り替え</t>
    <rPh sb="0" eb="3">
      <t>ブキキ</t>
    </rPh>
    <rPh sb="4" eb="5">
      <t>カ</t>
    </rPh>
    <phoneticPr fontId="1"/>
  </si>
  <si>
    <t>武器切り替えアニメーション</t>
    <rPh sb="0" eb="3">
      <t>ブキキ</t>
    </rPh>
    <rPh sb="4" eb="5">
      <t>カ</t>
    </rPh>
    <phoneticPr fontId="1"/>
  </si>
  <si>
    <t>どのシーンからオプションシーンに遷移し、どのシーンに遷移するか</t>
    <rPh sb="16" eb="18">
      <t>センイ</t>
    </rPh>
    <rPh sb="26" eb="28">
      <t>センイ</t>
    </rPh>
    <phoneticPr fontId="1"/>
  </si>
  <si>
    <t>敵3(遠距離型ゾンビ)</t>
    <rPh sb="0" eb="1">
      <t>テキ</t>
    </rPh>
    <rPh sb="3" eb="6">
      <t>エンキョリ</t>
    </rPh>
    <rPh sb="6" eb="7">
      <t>ガタ</t>
    </rPh>
    <phoneticPr fontId="1"/>
  </si>
  <si>
    <t>当たり判定処理</t>
    <rPh sb="0" eb="1">
      <t>ア</t>
    </rPh>
    <rPh sb="3" eb="5">
      <t>ハンテイ</t>
    </rPh>
    <rPh sb="5" eb="7">
      <t>ショリショキカショリ</t>
    </rPh>
    <phoneticPr fontId="1"/>
  </si>
  <si>
    <t>プレイヤーの弾や攻撃を受ける処理</t>
    <rPh sb="6" eb="7">
      <t>タマ</t>
    </rPh>
    <rPh sb="8" eb="10">
      <t>コウゲキ</t>
    </rPh>
    <rPh sb="11" eb="12">
      <t>ウ</t>
    </rPh>
    <rPh sb="14" eb="16">
      <t>ショリ</t>
    </rPh>
    <phoneticPr fontId="1"/>
  </si>
  <si>
    <t>状態管理</t>
    <rPh sb="0" eb="4">
      <t>ジョウタイカンリ</t>
    </rPh>
    <phoneticPr fontId="1"/>
  </si>
  <si>
    <t>ナビゲーション・移動処理</t>
    <rPh sb="8" eb="12">
      <t>イドウショリ</t>
    </rPh>
    <phoneticPr fontId="1"/>
  </si>
  <si>
    <t>ボス(ゾンビを召喚)</t>
    <phoneticPr fontId="1"/>
  </si>
  <si>
    <t>アイテムドロップ</t>
    <phoneticPr fontId="1"/>
  </si>
  <si>
    <t>アニメーション制御</t>
    <rPh sb="7" eb="9">
      <t>セイギョ</t>
    </rPh>
    <phoneticPr fontId="1"/>
  </si>
  <si>
    <t>状態に応じたアニメーション切り替え</t>
    <rPh sb="0" eb="2">
      <t>ジョウタイ</t>
    </rPh>
    <rPh sb="3" eb="4">
      <t>オウ</t>
    </rPh>
    <rPh sb="13" eb="14">
      <t>キ</t>
    </rPh>
    <rPh sb="15" eb="16">
      <t>カ</t>
    </rPh>
    <phoneticPr fontId="1"/>
  </si>
  <si>
    <t>エフェクト管理</t>
    <rPh sb="5" eb="7">
      <t>カンリ</t>
    </rPh>
    <phoneticPr fontId="1"/>
  </si>
  <si>
    <t>アニメーション実装</t>
    <rPh sb="7" eb="9">
      <t>ジッソウ</t>
    </rPh>
    <phoneticPr fontId="1"/>
  </si>
  <si>
    <t>移動速度調整</t>
    <rPh sb="0" eb="4">
      <t>イドウソクド</t>
    </rPh>
    <rPh sb="4" eb="6">
      <t>チョウセイ</t>
    </rPh>
    <phoneticPr fontId="1"/>
  </si>
  <si>
    <t>ダッシュ機能実装</t>
    <rPh sb="4" eb="8">
      <t>キノウジッソウ</t>
    </rPh>
    <phoneticPr fontId="1"/>
  </si>
  <si>
    <t>近接攻撃実装</t>
    <rPh sb="0" eb="4">
      <t>キンセツコウゲキ</t>
    </rPh>
    <rPh sb="4" eb="6">
      <t>ジッソウ</t>
    </rPh>
    <phoneticPr fontId="1"/>
  </si>
  <si>
    <t>遠距離攻撃実装</t>
    <rPh sb="0" eb="3">
      <t>エンキョリ</t>
    </rPh>
    <rPh sb="3" eb="7">
      <t>コウゲキジッソウ</t>
    </rPh>
    <phoneticPr fontId="1"/>
  </si>
  <si>
    <t>難易度に応じたパラメータ設定</t>
    <phoneticPr fontId="1"/>
  </si>
  <si>
    <t xml:space="preserve">ウェーブ開始/終了演出・スコア表示 </t>
    <rPh sb="7" eb="9">
      <t>シュウリョウ</t>
    </rPh>
    <rPh sb="15" eb="17">
      <t>ヒョウジ</t>
    </rPh>
    <phoneticPr fontId="1"/>
  </si>
  <si>
    <t>ウェーブごとにゾンビの種類を変更</t>
    <phoneticPr fontId="1"/>
  </si>
  <si>
    <t>プレイヤー</t>
    <phoneticPr fontId="1"/>
  </si>
  <si>
    <t>完了コスト</t>
    <rPh sb="0" eb="2">
      <t>カンリョウ</t>
    </rPh>
    <phoneticPr fontId="1"/>
  </si>
  <si>
    <t>HP・攻撃力・移動速度など</t>
    <phoneticPr fontId="1"/>
  </si>
  <si>
    <t>サウンド管理</t>
    <rPh sb="4" eb="6">
      <t>カンリ</t>
    </rPh>
    <phoneticPr fontId="1"/>
  </si>
  <si>
    <t>サウンド実装</t>
    <rPh sb="4" eb="6">
      <t>ジッソウ</t>
    </rPh>
    <phoneticPr fontId="1"/>
  </si>
  <si>
    <t>攻撃パターン実装</t>
    <rPh sb="0" eb="2">
      <t>コウゲキ</t>
    </rPh>
    <rPh sb="6" eb="8">
      <t>ジッソウ</t>
    </rPh>
    <phoneticPr fontId="1"/>
  </si>
  <si>
    <t>召喚機能実装</t>
    <rPh sb="0" eb="4">
      <t>ショウカンキノウ</t>
    </rPh>
    <rPh sb="4" eb="6">
      <t>ジッソウ</t>
    </rPh>
    <phoneticPr fontId="1"/>
  </si>
  <si>
    <t>プレイヤー検知(視野 or 範囲)</t>
    <phoneticPr fontId="1"/>
  </si>
  <si>
    <t>マップ</t>
    <phoneticPr fontId="1"/>
  </si>
  <si>
    <t>マップ設計</t>
    <rPh sb="3" eb="5">
      <t>セッケイ</t>
    </rPh>
    <phoneticPr fontId="1"/>
  </si>
  <si>
    <t>配置データの保存</t>
    <rPh sb="0" eb="2">
      <t>ハイチ</t>
    </rPh>
    <rPh sb="6" eb="8">
      <t>ホゾン</t>
    </rPh>
    <phoneticPr fontId="1"/>
  </si>
  <si>
    <t>配置データの読み込み</t>
    <rPh sb="0" eb="2">
      <t>ハイチ</t>
    </rPh>
    <rPh sb="6" eb="7">
      <t>ヨ</t>
    </rPh>
    <rPh sb="8" eb="9">
      <t>コ</t>
    </rPh>
    <phoneticPr fontId="1"/>
  </si>
  <si>
    <t>マップ実装</t>
    <rPh sb="3" eb="5">
      <t>ジッソウ</t>
    </rPh>
    <phoneticPr fontId="1"/>
  </si>
  <si>
    <t>マップ</t>
    <phoneticPr fontId="1"/>
  </si>
  <si>
    <t>エフェクト実装</t>
    <rPh sb="5" eb="7">
      <t>ジッソウ</t>
    </rPh>
    <phoneticPr fontId="1"/>
  </si>
  <si>
    <t>ウェーブごとに増加(例：5体 → 10体)</t>
    <phoneticPr fontId="1"/>
  </si>
  <si>
    <t>コスト合計</t>
    <rPh sb="3" eb="5">
      <t>ゴウケイ</t>
    </rPh>
    <phoneticPr fontId="1"/>
  </si>
  <si>
    <t>ウェーブ管理</t>
    <rPh sb="4" eb="6">
      <t>カンリ</t>
    </rPh>
    <phoneticPr fontId="1"/>
  </si>
  <si>
    <t>当たり判定実装</t>
    <rPh sb="0" eb="1">
      <t>ア</t>
    </rPh>
    <rPh sb="3" eb="5">
      <t>ハンテイ</t>
    </rPh>
    <rPh sb="5" eb="7">
      <t>ジッソウ</t>
    </rPh>
    <phoneticPr fontId="1"/>
  </si>
  <si>
    <t>リザルト</t>
  </si>
  <si>
    <t>リザルト</t>
    <phoneticPr fontId="1"/>
  </si>
  <si>
    <t>サウンド実装</t>
    <rPh sb="4" eb="6">
      <t>ジッソウ</t>
    </rPh>
    <phoneticPr fontId="1"/>
  </si>
  <si>
    <t>リザルト</t>
    <phoneticPr fontId="1"/>
  </si>
  <si>
    <t>結果UIのスキップ処理</t>
    <phoneticPr fontId="1"/>
  </si>
  <si>
    <t xml:space="preserve">	ボタン押下で早送り・スキップするUI対応</t>
    <phoneticPr fontId="1"/>
  </si>
  <si>
    <t>フェード</t>
  </si>
  <si>
    <t>S：実装が必須</t>
  </si>
  <si>
    <t>A：重要な要素</t>
  </si>
  <si>
    <t>B：なくても問題ないがあるといい</t>
  </si>
  <si>
    <t>C：なくても問題ない</t>
  </si>
  <si>
    <t>敵ベース</t>
    <rPh sb="0" eb="1">
      <t>テキ</t>
    </rPh>
    <phoneticPr fontId="1"/>
  </si>
  <si>
    <t>作業中コスト</t>
    <rPh sb="0" eb="2">
      <t>サギョウ</t>
    </rPh>
    <rPh sb="2" eb="3">
      <t>チュウ</t>
    </rPh>
    <phoneticPr fontId="1"/>
  </si>
  <si>
    <t>未着手コスト</t>
    <rPh sb="0" eb="3">
      <t>ミチャクシュ</t>
    </rPh>
    <phoneticPr fontId="1"/>
  </si>
  <si>
    <t>ゲームオーバー</t>
  </si>
  <si>
    <t>ゲームオーバー</t>
    <phoneticPr fontId="1"/>
  </si>
  <si>
    <t>UI実装</t>
    <rPh sb="2" eb="4">
      <t>ジッソウ</t>
    </rPh>
    <phoneticPr fontId="1"/>
  </si>
  <si>
    <t>ウェーブ中のキル数、クリア時間、スコア</t>
    <rPh sb="13" eb="15">
      <t>ジカン</t>
    </rPh>
    <phoneticPr fontId="1"/>
  </si>
  <si>
    <t>ゲームオーバー時のキル数、時間、スコア</t>
    <rPh sb="7" eb="8">
      <t>ジ</t>
    </rPh>
    <rPh sb="11" eb="12">
      <t>スウ</t>
    </rPh>
    <rPh sb="13" eb="15">
      <t>ジカン</t>
    </rPh>
    <phoneticPr fontId="1"/>
  </si>
  <si>
    <t>ゲームオーバー</t>
    <phoneticPr fontId="1"/>
  </si>
  <si>
    <t>タックル攻撃アニメーション</t>
    <rPh sb="4" eb="6">
      <t>コウゲキ</t>
    </rPh>
    <phoneticPr fontId="1"/>
  </si>
  <si>
    <t>プレイヤー</t>
    <phoneticPr fontId="1"/>
  </si>
  <si>
    <t>移動、攻撃、死亡などの状態管理</t>
    <rPh sb="0" eb="2">
      <t>イドウ</t>
    </rPh>
    <rPh sb="3" eb="5">
      <t>コウゲキ</t>
    </rPh>
    <rPh sb="6" eb="8">
      <t>シボウ</t>
    </rPh>
    <rPh sb="11" eb="15">
      <t>ジョウタイカンリ</t>
    </rPh>
    <phoneticPr fontId="1"/>
  </si>
  <si>
    <t>プレイヤー追尾処理は実装済みなのでいったん完了とす、壁回避(未完)</t>
    <rPh sb="5" eb="7">
      <t>ツイビ</t>
    </rPh>
    <rPh sb="7" eb="9">
      <t>ショリ</t>
    </rPh>
    <rPh sb="10" eb="13">
      <t>ジッソウズ</t>
    </rPh>
    <rPh sb="21" eb="23">
      <t>カンリョウ</t>
    </rPh>
    <rPh sb="26" eb="29">
      <t>カベカイヒ</t>
    </rPh>
    <rPh sb="30" eb="32">
      <t>ミカン</t>
    </rPh>
    <phoneticPr fontId="1"/>
  </si>
  <si>
    <t>難易度調整</t>
    <rPh sb="3" eb="5">
      <t>チョウセイ</t>
    </rPh>
    <phoneticPr fontId="1"/>
  </si>
  <si>
    <t>結果UI実装</t>
    <rPh sb="0" eb="2">
      <t>ケッカ</t>
    </rPh>
    <rPh sb="4" eb="6">
      <t>ジッソウ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</si>
  <si>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</si>
  <si>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</si>
  <si>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</si>
  <si>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ジャンプ時の画面効果</t>
    <rPh sb="4" eb="5">
      <t>ジ</t>
    </rPh>
    <rPh sb="6" eb="10">
      <t>ガメンコウカ</t>
    </rPh>
    <phoneticPr fontId="1"/>
  </si>
  <si>
    <t>10月</t>
    <rPh sb="2" eb="3">
      <t>ガツ</t>
    </rPh>
    <phoneticPr fontId="1"/>
  </si>
  <si>
    <t>死亡演出</t>
    <rPh sb="0" eb="4">
      <t>シボウエンシュツ</t>
    </rPh>
    <phoneticPr fontId="1"/>
  </si>
  <si>
    <t>方向インジケーター</t>
    <rPh sb="0" eb="2">
      <t>ホウコウ</t>
    </rPh>
    <phoneticPr fontId="1"/>
  </si>
  <si>
    <t>クロスヘア</t>
  </si>
  <si>
    <t>剣から盾にモデル変更</t>
    <rPh sb="0" eb="1">
      <t>ケン</t>
    </rPh>
    <rPh sb="3" eb="4">
      <t>タテ</t>
    </rPh>
    <rPh sb="8" eb="10">
      <t>ヘンコウ</t>
    </rPh>
    <phoneticPr fontId="1"/>
  </si>
  <si>
    <t>ガード実装</t>
    <rPh sb="3" eb="5">
      <t>ジッソウ</t>
    </rPh>
    <phoneticPr fontId="1"/>
  </si>
  <si>
    <t>耐久値実装</t>
    <rPh sb="0" eb="3">
      <t>タイキュウチ</t>
    </rPh>
    <rPh sb="3" eb="5">
      <t>ジッソウ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</si>
</sst>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rgb="FF000000"/>
      <name val="Yu Gothic"/>
      <family val="3"/>
      <charset val="128"/>
    </font>
    <font>
      <b/>
      <sz val="11"/>
      <color theme="0"/>
      <name val="游ゴシック"/>
      <family val="3"/>
      <charset val="128"/>
    </font>
    <font>
      <sz val="12"/>
      <color rgb="FF000000"/>
      <name val="Yu Gothic"/>
      <family val="3"/>
      <charset val="128"/>
    </font>
    <font>
      <b/>
      <sz val="11"/>
      <color theme="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11"/>
      <color rgb="FFA20000"/>
      <name val="Yu Gothic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Yu Gothic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/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3" borderId="14" xfId="0" applyFont="1" applyFill="1" applyBorder="1">
      <alignment vertical="center"/>
    </xf>
    <xf numFmtId="0" fontId="5" fillId="4" borderId="13" xfId="0" applyFont="1" applyFill="1" applyBorder="1">
      <alignment vertical="center"/>
    </xf>
    <xf numFmtId="0" fontId="5" fillId="5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5" fillId="7" borderId="13" xfId="0" applyFont="1" applyFill="1" applyBorder="1">
      <alignment vertical="center"/>
    </xf>
    <xf numFmtId="0" fontId="6" fillId="2" borderId="14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8" borderId="2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top"/>
    </xf>
    <xf numFmtId="0" fontId="7" fillId="0" borderId="7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8" fillId="8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56" fontId="3" fillId="0" borderId="0" xfId="0" applyNumberFormat="1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/>
    <xf numFmtId="0" fontId="0" fillId="0" borderId="8" xfId="0" applyBorder="1" applyAlignment="1">
      <alignment horizontal="left" vertical="center"/>
    </xf>
    <xf numFmtId="0" fontId="4" fillId="2" borderId="2" xfId="0" applyFont="1" applyFill="1" applyBorder="1" applyAlignment="1">
      <alignment horizontal="center" vertical="top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0" fontId="10" fillId="9" borderId="0" xfId="0" applyFont="1" applyFill="1">
      <alignment vertical="center"/>
    </xf>
    <xf numFmtId="0" fontId="3" fillId="10" borderId="11" xfId="0" applyFont="1" applyFill="1" applyBorder="1" applyAlignment="1"/>
    <xf numFmtId="0" fontId="3" fillId="0" borderId="11" xfId="0" applyFont="1" applyBorder="1" applyAlignment="1"/>
    <xf numFmtId="0" fontId="11" fillId="8" borderId="1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4A4A"/>
      <color rgb="FFFA2828"/>
      <color rgb="FFE87E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2"/>
  <sheetViews>
    <sheetView zoomScaleNormal="100" workbookViewId="0">
      <pane ySplit="2" topLeftCell="A78" activePane="bottomLeft" state="frozen"/>
      <selection pane="bottomLeft" activeCell="G97" sqref="G97"/>
    </sheetView>
  </sheetViews>
  <sheetFormatPr defaultRowHeight="15.75" customHeight="1"/>
  <cols>
    <col min="2" max="2" width="27.5" bestFit="1" customWidth="1"/>
    <col min="3" max="3" width="31.625" style="7" customWidth="1"/>
    <col min="4" max="4" width="12.875" style="17" customWidth="1"/>
    <col min="5" max="5" width="11.25" style="7" customWidth="1"/>
    <col min="6" max="6" width="13.25" style="7" customWidth="1"/>
    <col min="7" max="7" width="10" style="7" customWidth="1"/>
    <col min="8" max="8" width="58.375" style="7" bestFit="1" customWidth="1"/>
    <col min="9" max="9" width="11.125" style="13" customWidth="1"/>
  </cols>
  <sheetData>
    <row r="1" spans="2:8" ht="15.75" customHeight="1">
      <c r="B1" s="52" t="s">
        <v>58</v>
      </c>
    </row>
    <row r="2" spans="2:8" ht="18.75">
      <c r="B2" s="22" t="s">
        <v>0</v>
      </c>
      <c r="C2" s="23" t="s">
        <v>1</v>
      </c>
      <c r="D2" s="24" t="s">
        <v>2</v>
      </c>
      <c r="E2" s="23" t="s">
        <v>3</v>
      </c>
      <c r="F2" s="25" t="s">
        <v>4</v>
      </c>
      <c r="G2" s="25" t="s">
        <v>5</v>
      </c>
      <c r="H2" s="25" t="s">
        <v>6</v>
      </c>
    </row>
    <row r="3" spans="2:8" ht="18.75">
      <c r="B3" s="3" t="s">
        <v>7</v>
      </c>
      <c r="C3" s="3" t="s">
        <v>129</v>
      </c>
      <c r="D3" s="8">
        <v>0.5</v>
      </c>
      <c r="E3" s="4" t="s">
        <v>8</v>
      </c>
      <c r="F3" s="10" t="s">
        <v>130</v>
      </c>
      <c r="G3" s="10" t="s">
        <v>12</v>
      </c>
      <c r="H3" s="14"/>
    </row>
    <row r="4" spans="2:8" ht="18.75">
      <c r="B4" s="1" t="s">
        <v>7</v>
      </c>
      <c r="C4" s="1" t="s">
        <v>131</v>
      </c>
      <c r="D4" s="7">
        <v>0.5</v>
      </c>
      <c r="E4" s="5" t="s">
        <v>13</v>
      </c>
      <c r="F4" s="11" t="s">
        <v>130</v>
      </c>
      <c r="G4" s="11" t="s">
        <v>12</v>
      </c>
      <c r="H4" s="15"/>
    </row>
    <row r="5" spans="2:8" ht="18.75">
      <c r="B5" s="1" t="s">
        <v>81</v>
      </c>
      <c r="C5" s="1" t="s">
        <v>28</v>
      </c>
      <c r="D5" s="7">
        <v>4</v>
      </c>
      <c r="E5" s="5" t="s">
        <v>8</v>
      </c>
      <c r="F5" s="11" t="s">
        <v>130</v>
      </c>
      <c r="G5" s="11" t="s">
        <v>12</v>
      </c>
      <c r="H5" s="15"/>
    </row>
    <row r="6" spans="2:8" ht="18.75">
      <c r="B6" s="1" t="s">
        <v>7</v>
      </c>
      <c r="C6" s="1" t="s">
        <v>132</v>
      </c>
      <c r="D6" s="7">
        <v>2</v>
      </c>
      <c r="E6" s="5" t="s">
        <v>8</v>
      </c>
      <c r="F6" s="11" t="s">
        <v>130</v>
      </c>
      <c r="G6" s="11" t="s">
        <v>12</v>
      </c>
      <c r="H6" s="15"/>
    </row>
    <row r="7" spans="2:8" ht="18.75">
      <c r="B7" s="1" t="s">
        <v>7</v>
      </c>
      <c r="C7" s="15" t="s">
        <v>60</v>
      </c>
      <c r="D7" s="7">
        <v>4</v>
      </c>
      <c r="E7" s="5" t="s">
        <v>8</v>
      </c>
      <c r="F7" s="11" t="s">
        <v>126</v>
      </c>
      <c r="G7" s="11" t="s">
        <v>12</v>
      </c>
    </row>
    <row r="8" spans="2:8" ht="18.75">
      <c r="B8" s="1" t="s">
        <v>7</v>
      </c>
      <c r="C8" s="1" t="s">
        <v>61</v>
      </c>
      <c r="D8" s="7">
        <v>0.5</v>
      </c>
      <c r="E8" s="5" t="s">
        <v>8</v>
      </c>
      <c r="F8" s="11" t="s">
        <v>126</v>
      </c>
      <c r="G8" s="11" t="s">
        <v>12</v>
      </c>
      <c r="H8" s="15"/>
    </row>
    <row r="9" spans="2:8" ht="18.75">
      <c r="B9" s="1" t="s">
        <v>22</v>
      </c>
      <c r="C9" s="1" t="s">
        <v>133</v>
      </c>
      <c r="D9" s="7">
        <v>0.5</v>
      </c>
      <c r="E9" s="5" t="s">
        <v>13</v>
      </c>
      <c r="F9" s="11" t="s">
        <v>130</v>
      </c>
      <c r="G9" s="11" t="s">
        <v>12</v>
      </c>
      <c r="H9" s="15"/>
    </row>
    <row r="10" spans="2:8" ht="18.75">
      <c r="B10" s="1" t="s">
        <v>7</v>
      </c>
      <c r="C10" s="1" t="s">
        <v>43</v>
      </c>
      <c r="D10" s="7">
        <v>1</v>
      </c>
      <c r="E10" s="5" t="s">
        <v>8</v>
      </c>
      <c r="F10" s="11" t="s">
        <v>127</v>
      </c>
      <c r="G10" s="11" t="s">
        <v>11</v>
      </c>
      <c r="H10" s="15"/>
    </row>
    <row r="11" spans="2:8" ht="18.75">
      <c r="B11" s="1" t="s">
        <v>121</v>
      </c>
      <c r="C11" s="1" t="s">
        <v>134</v>
      </c>
      <c r="D11" s="7">
        <v>0.5</v>
      </c>
      <c r="E11" s="5" t="s">
        <v>8</v>
      </c>
      <c r="F11" s="11" t="s">
        <v>126</v>
      </c>
      <c r="G11" s="11" t="s">
        <v>12</v>
      </c>
      <c r="H11" s="15"/>
    </row>
    <row r="12" spans="2:8" ht="18.75">
      <c r="B12" s="1" t="s">
        <v>59</v>
      </c>
      <c r="C12" s="1" t="s">
        <v>135</v>
      </c>
      <c r="D12" s="7">
        <v>1</v>
      </c>
      <c r="E12" s="5" t="s">
        <v>8</v>
      </c>
      <c r="F12" s="11" t="s">
        <v>126</v>
      </c>
      <c r="G12" s="11" t="s">
        <v>12</v>
      </c>
      <c r="H12" s="15"/>
    </row>
    <row r="13" spans="2:8" ht="18.75">
      <c r="B13" s="1" t="s">
        <v>59</v>
      </c>
      <c r="C13" s="1" t="s">
        <v>136</v>
      </c>
      <c r="D13" s="7">
        <v>1</v>
      </c>
      <c r="E13" s="5" t="s">
        <v>8</v>
      </c>
      <c r="F13" s="11" t="s">
        <v>126</v>
      </c>
      <c r="G13" s="11" t="s">
        <v>12</v>
      </c>
      <c r="H13" s="15"/>
    </row>
    <row r="14" spans="2:8" ht="18.75">
      <c r="B14" s="1" t="s">
        <v>7</v>
      </c>
      <c r="C14" s="1" t="s">
        <v>120</v>
      </c>
      <c r="D14" s="7">
        <v>0.5</v>
      </c>
      <c r="E14" s="5" t="s">
        <v>8</v>
      </c>
      <c r="F14" s="11"/>
      <c r="G14" s="11" t="s">
        <v>12</v>
      </c>
      <c r="H14" s="15"/>
    </row>
    <row r="15" spans="2:8" ht="18.75">
      <c r="B15" s="1" t="s">
        <v>7</v>
      </c>
      <c r="C15" s="1" t="s">
        <v>23</v>
      </c>
      <c r="D15" s="7">
        <v>0.5</v>
      </c>
      <c r="E15" s="5" t="s">
        <v>8</v>
      </c>
      <c r="F15" s="11"/>
      <c r="G15" s="11" t="s">
        <v>12</v>
      </c>
      <c r="H15" s="15"/>
    </row>
    <row r="16" spans="2:8" ht="18.75">
      <c r="B16" s="1" t="s">
        <v>7</v>
      </c>
      <c r="C16" s="1" t="s">
        <v>26</v>
      </c>
      <c r="D16" s="7">
        <v>0.5</v>
      </c>
      <c r="E16" s="5" t="s">
        <v>8</v>
      </c>
      <c r="F16" s="11"/>
      <c r="G16" s="11" t="s">
        <v>12</v>
      </c>
      <c r="H16" s="15"/>
    </row>
    <row r="17" spans="2:8" ht="18.75">
      <c r="B17" s="39"/>
      <c r="C17" s="45"/>
      <c r="D17" s="46"/>
      <c r="E17" s="45"/>
      <c r="F17" s="45"/>
      <c r="G17" s="45"/>
      <c r="H17" s="6"/>
    </row>
    <row r="18" spans="2:8" ht="18.75">
      <c r="B18" s="3" t="s">
        <v>111</v>
      </c>
      <c r="C18" s="3" t="s">
        <v>64</v>
      </c>
      <c r="D18" s="8">
        <v>5</v>
      </c>
      <c r="E18" s="4" t="s">
        <v>8</v>
      </c>
      <c r="F18" s="10"/>
      <c r="G18" s="10" t="s">
        <v>12</v>
      </c>
      <c r="H18" s="14" t="s">
        <v>65</v>
      </c>
    </row>
    <row r="19" spans="2:8" ht="18.75">
      <c r="B19" s="1" t="s">
        <v>111</v>
      </c>
      <c r="C19" s="1" t="s">
        <v>66</v>
      </c>
      <c r="D19" s="7">
        <v>4</v>
      </c>
      <c r="E19" s="5" t="s">
        <v>8</v>
      </c>
      <c r="F19" s="11"/>
      <c r="G19" s="11" t="s">
        <v>12</v>
      </c>
      <c r="H19" s="15" t="s">
        <v>122</v>
      </c>
    </row>
    <row r="20" spans="2:8" ht="18.75">
      <c r="B20" s="1" t="s">
        <v>111</v>
      </c>
      <c r="C20" s="1" t="s">
        <v>67</v>
      </c>
      <c r="D20" s="7">
        <v>6</v>
      </c>
      <c r="E20" s="5" t="s">
        <v>8</v>
      </c>
      <c r="F20" s="11"/>
      <c r="G20" s="11" t="s">
        <v>12</v>
      </c>
      <c r="H20" s="15" t="s">
        <v>123</v>
      </c>
    </row>
    <row r="21" spans="2:8" ht="18.75">
      <c r="B21" s="1" t="s">
        <v>111</v>
      </c>
      <c r="C21" s="1" t="s">
        <v>69</v>
      </c>
      <c r="D21" s="7">
        <v>2</v>
      </c>
      <c r="E21" s="5" t="s">
        <v>8</v>
      </c>
      <c r="F21" s="11"/>
      <c r="G21" s="11" t="s">
        <v>12</v>
      </c>
      <c r="H21" s="15"/>
    </row>
    <row r="22" spans="2:8" ht="18.75">
      <c r="B22" s="1" t="s">
        <v>111</v>
      </c>
      <c r="C22" s="1" t="s">
        <v>70</v>
      </c>
      <c r="D22" s="7">
        <v>4</v>
      </c>
      <c r="E22" s="5" t="s">
        <v>8</v>
      </c>
      <c r="F22" s="11"/>
      <c r="G22" s="11" t="s">
        <v>12</v>
      </c>
      <c r="H22" s="15" t="s">
        <v>71</v>
      </c>
    </row>
    <row r="23" spans="2:8" ht="18.75">
      <c r="B23" s="1" t="s">
        <v>111</v>
      </c>
      <c r="C23" s="1" t="s">
        <v>72</v>
      </c>
      <c r="D23" s="7">
        <v>3</v>
      </c>
      <c r="E23" s="5" t="s">
        <v>8</v>
      </c>
      <c r="F23" s="11"/>
      <c r="G23" s="11" t="s">
        <v>11</v>
      </c>
      <c r="H23" s="15"/>
    </row>
    <row r="24" spans="2:8" ht="18.75">
      <c r="B24" s="1" t="s">
        <v>111</v>
      </c>
      <c r="C24" s="1" t="s">
        <v>84</v>
      </c>
      <c r="D24" s="7">
        <v>3</v>
      </c>
      <c r="E24" s="5" t="s">
        <v>8</v>
      </c>
      <c r="F24" s="11"/>
      <c r="G24" s="11" t="s">
        <v>11</v>
      </c>
      <c r="H24" s="15"/>
    </row>
    <row r="25" spans="2:8" ht="18.75">
      <c r="B25" s="2"/>
      <c r="C25" s="2"/>
      <c r="D25" s="7"/>
      <c r="E25" s="6"/>
      <c r="F25" s="12"/>
      <c r="G25" s="12"/>
      <c r="H25" s="16"/>
    </row>
    <row r="26" spans="2:8" ht="18.75">
      <c r="B26" s="1" t="s">
        <v>24</v>
      </c>
      <c r="C26" s="1" t="s">
        <v>76</v>
      </c>
      <c r="D26" s="4">
        <v>1.5</v>
      </c>
      <c r="E26" s="5" t="s">
        <v>8</v>
      </c>
      <c r="F26" s="11"/>
      <c r="G26" s="11" t="s">
        <v>12</v>
      </c>
      <c r="H26" s="15"/>
    </row>
    <row r="27" spans="2:8" ht="18.75">
      <c r="B27" s="1" t="s">
        <v>24</v>
      </c>
      <c r="C27" s="1" t="s">
        <v>74</v>
      </c>
      <c r="D27" s="7">
        <v>1</v>
      </c>
      <c r="E27" s="5" t="s">
        <v>8</v>
      </c>
      <c r="F27" s="11"/>
      <c r="G27" s="11" t="s">
        <v>12</v>
      </c>
      <c r="H27" s="15"/>
    </row>
    <row r="28" spans="2:8" ht="18.75">
      <c r="B28" s="1" t="s">
        <v>24</v>
      </c>
      <c r="C28" s="1" t="s">
        <v>73</v>
      </c>
      <c r="D28" s="7">
        <v>2</v>
      </c>
      <c r="E28" s="5" t="s">
        <v>8</v>
      </c>
      <c r="F28" s="11"/>
      <c r="G28" s="11" t="s">
        <v>12</v>
      </c>
      <c r="H28" s="15"/>
    </row>
    <row r="29" spans="2:8" ht="18.75">
      <c r="B29" s="1" t="s">
        <v>24</v>
      </c>
      <c r="C29" s="1" t="s">
        <v>95</v>
      </c>
      <c r="D29" s="7">
        <v>2</v>
      </c>
      <c r="E29" s="5" t="s">
        <v>8</v>
      </c>
      <c r="F29" s="11"/>
      <c r="G29" s="11" t="s">
        <v>12</v>
      </c>
      <c r="H29" s="15"/>
    </row>
    <row r="30" spans="2:8" ht="18.75">
      <c r="B30" s="1" t="s">
        <v>24</v>
      </c>
      <c r="C30" s="1" t="s">
        <v>99</v>
      </c>
      <c r="D30" s="7">
        <v>3</v>
      </c>
      <c r="E30" s="5" t="s">
        <v>8</v>
      </c>
      <c r="F30" s="11"/>
      <c r="G30" s="11" t="s">
        <v>12</v>
      </c>
      <c r="H30" s="15"/>
    </row>
    <row r="31" spans="2:8" ht="18.75">
      <c r="B31" s="1" t="s">
        <v>24</v>
      </c>
      <c r="C31" s="1" t="s">
        <v>85</v>
      </c>
      <c r="D31" s="7">
        <v>1</v>
      </c>
      <c r="E31" s="5" t="s">
        <v>8</v>
      </c>
      <c r="F31" s="11"/>
      <c r="G31" s="11" t="s">
        <v>11</v>
      </c>
      <c r="H31" s="15"/>
    </row>
    <row r="32" spans="2:8" ht="18.75">
      <c r="B32" s="1"/>
      <c r="C32" s="1"/>
      <c r="D32" s="7"/>
      <c r="E32" s="5"/>
      <c r="F32" s="11"/>
      <c r="G32" s="11"/>
      <c r="H32" s="15"/>
    </row>
    <row r="33" spans="2:8" ht="18.75">
      <c r="B33" s="3" t="s">
        <v>25</v>
      </c>
      <c r="C33" s="3" t="s">
        <v>75</v>
      </c>
      <c r="D33" s="8">
        <v>1</v>
      </c>
      <c r="E33" s="4" t="s">
        <v>8</v>
      </c>
      <c r="F33" s="10"/>
      <c r="G33" s="10" t="s">
        <v>12</v>
      </c>
      <c r="H33" s="43"/>
    </row>
    <row r="34" spans="2:8" ht="18.75">
      <c r="B34" s="1" t="s">
        <v>25</v>
      </c>
      <c r="C34" s="1" t="s">
        <v>76</v>
      </c>
      <c r="D34" s="7">
        <v>1.5</v>
      </c>
      <c r="E34" s="5" t="s">
        <v>8</v>
      </c>
      <c r="F34" s="11"/>
      <c r="G34" s="11" t="s">
        <v>12</v>
      </c>
      <c r="H34" s="15"/>
    </row>
    <row r="35" spans="2:8" ht="18.75">
      <c r="B35" s="1" t="s">
        <v>25</v>
      </c>
      <c r="C35" s="1" t="s">
        <v>73</v>
      </c>
      <c r="D35" s="7">
        <v>2</v>
      </c>
      <c r="E35" s="5" t="s">
        <v>8</v>
      </c>
      <c r="F35" s="11"/>
      <c r="G35" s="11" t="s">
        <v>12</v>
      </c>
      <c r="H35" s="15"/>
    </row>
    <row r="36" spans="2:8" ht="18.75">
      <c r="B36" s="1" t="s">
        <v>25</v>
      </c>
      <c r="C36" s="1" t="s">
        <v>95</v>
      </c>
      <c r="D36" s="7">
        <v>2</v>
      </c>
      <c r="E36" s="5" t="s">
        <v>8</v>
      </c>
      <c r="F36" s="11"/>
      <c r="G36" s="11" t="s">
        <v>12</v>
      </c>
      <c r="H36" s="15"/>
    </row>
    <row r="37" spans="2:8" ht="18.75">
      <c r="B37" s="1" t="s">
        <v>25</v>
      </c>
      <c r="C37" s="1" t="s">
        <v>99</v>
      </c>
      <c r="D37" s="7">
        <v>3</v>
      </c>
      <c r="E37" s="5" t="s">
        <v>8</v>
      </c>
      <c r="F37" s="11"/>
      <c r="G37" s="11" t="s">
        <v>12</v>
      </c>
      <c r="H37" s="15"/>
    </row>
    <row r="38" spans="2:8" ht="18.75">
      <c r="B38" s="1" t="s">
        <v>25</v>
      </c>
      <c r="C38" s="1" t="s">
        <v>85</v>
      </c>
      <c r="D38" s="7">
        <v>1</v>
      </c>
      <c r="E38" s="5" t="s">
        <v>8</v>
      </c>
      <c r="F38" s="11"/>
      <c r="G38" s="11" t="s">
        <v>11</v>
      </c>
      <c r="H38" s="15"/>
    </row>
    <row r="39" spans="2:8" ht="18.75">
      <c r="B39" s="2"/>
      <c r="C39" s="2"/>
      <c r="D39" s="7"/>
      <c r="E39" s="6"/>
      <c r="F39" s="12"/>
      <c r="G39" s="12"/>
      <c r="H39" s="16"/>
    </row>
    <row r="40" spans="2:8" ht="18.75">
      <c r="B40" s="1" t="s">
        <v>63</v>
      </c>
      <c r="C40" s="1" t="s">
        <v>77</v>
      </c>
      <c r="D40" s="4">
        <v>1.5</v>
      </c>
      <c r="E40" s="5" t="s">
        <v>8</v>
      </c>
      <c r="F40" s="11"/>
      <c r="G40" s="11" t="s">
        <v>12</v>
      </c>
      <c r="H40" s="15"/>
    </row>
    <row r="41" spans="2:8" ht="18.75">
      <c r="B41" s="1" t="s">
        <v>63</v>
      </c>
      <c r="C41" s="1" t="s">
        <v>74</v>
      </c>
      <c r="D41" s="7">
        <v>1</v>
      </c>
      <c r="E41" s="5" t="s">
        <v>8</v>
      </c>
      <c r="F41" s="11"/>
      <c r="G41" s="11" t="s">
        <v>12</v>
      </c>
      <c r="H41" s="15"/>
    </row>
    <row r="42" spans="2:8" ht="18.75">
      <c r="B42" s="1" t="s">
        <v>63</v>
      </c>
      <c r="C42" s="1" t="s">
        <v>73</v>
      </c>
      <c r="D42" s="7">
        <v>2</v>
      </c>
      <c r="E42" s="5" t="s">
        <v>8</v>
      </c>
      <c r="F42" s="11"/>
      <c r="G42" s="11" t="s">
        <v>12</v>
      </c>
      <c r="H42" s="15"/>
    </row>
    <row r="43" spans="2:8" ht="18.75">
      <c r="B43" s="1" t="s">
        <v>63</v>
      </c>
      <c r="C43" s="1" t="s">
        <v>95</v>
      </c>
      <c r="D43" s="7">
        <v>2</v>
      </c>
      <c r="E43" s="5" t="s">
        <v>8</v>
      </c>
      <c r="F43" s="11"/>
      <c r="G43" s="11" t="s">
        <v>12</v>
      </c>
      <c r="H43" s="15"/>
    </row>
    <row r="44" spans="2:8" ht="18.75">
      <c r="B44" s="1" t="s">
        <v>63</v>
      </c>
      <c r="C44" s="1" t="s">
        <v>99</v>
      </c>
      <c r="D44" s="7">
        <v>3</v>
      </c>
      <c r="E44" s="5" t="s">
        <v>8</v>
      </c>
      <c r="F44" s="11"/>
      <c r="G44" s="11" t="s">
        <v>12</v>
      </c>
      <c r="H44" s="15"/>
    </row>
    <row r="45" spans="2:8" ht="18.75">
      <c r="B45" s="1" t="s">
        <v>63</v>
      </c>
      <c r="C45" s="1" t="s">
        <v>85</v>
      </c>
      <c r="D45" s="7">
        <v>1</v>
      </c>
      <c r="E45" s="5" t="s">
        <v>8</v>
      </c>
      <c r="F45" s="11"/>
      <c r="G45" s="11" t="s">
        <v>11</v>
      </c>
      <c r="H45" s="15"/>
    </row>
    <row r="46" spans="2:8" ht="18.75">
      <c r="B46" s="1"/>
      <c r="C46" s="1"/>
      <c r="D46" s="7"/>
      <c r="E46" s="5"/>
      <c r="F46" s="11"/>
      <c r="G46" s="11"/>
      <c r="H46" s="15"/>
    </row>
    <row r="47" spans="2:8" ht="18.75">
      <c r="B47" s="3" t="s">
        <v>52</v>
      </c>
      <c r="C47" s="3" t="s">
        <v>86</v>
      </c>
      <c r="D47" s="8">
        <v>5</v>
      </c>
      <c r="E47" s="4" t="s">
        <v>8</v>
      </c>
      <c r="F47" s="10"/>
      <c r="G47" s="10" t="s">
        <v>12</v>
      </c>
      <c r="H47" s="14"/>
    </row>
    <row r="48" spans="2:8" ht="18.75">
      <c r="B48" s="1" t="s">
        <v>52</v>
      </c>
      <c r="C48" s="1" t="s">
        <v>87</v>
      </c>
      <c r="D48" s="7">
        <v>4</v>
      </c>
      <c r="E48" s="5" t="s">
        <v>8</v>
      </c>
      <c r="F48" s="11"/>
      <c r="G48" s="11" t="s">
        <v>9</v>
      </c>
      <c r="H48" s="15"/>
    </row>
    <row r="49" spans="2:8" ht="18.75">
      <c r="B49" s="1" t="s">
        <v>52</v>
      </c>
      <c r="C49" s="1" t="s">
        <v>74</v>
      </c>
      <c r="D49" s="7">
        <v>1</v>
      </c>
      <c r="E49" s="5" t="s">
        <v>8</v>
      </c>
      <c r="F49" s="11"/>
      <c r="G49" s="11" t="s">
        <v>12</v>
      </c>
      <c r="H49" s="15"/>
    </row>
    <row r="50" spans="2:8" ht="18.75">
      <c r="B50" s="1" t="s">
        <v>68</v>
      </c>
      <c r="C50" s="1" t="s">
        <v>88</v>
      </c>
      <c r="D50" s="7">
        <v>5</v>
      </c>
      <c r="E50" s="5" t="s">
        <v>8</v>
      </c>
      <c r="F50" s="11"/>
      <c r="G50" s="11" t="s">
        <v>12</v>
      </c>
      <c r="H50" s="15" t="s">
        <v>27</v>
      </c>
    </row>
    <row r="51" spans="2:8" ht="18.75">
      <c r="B51" s="1" t="s">
        <v>52</v>
      </c>
      <c r="C51" s="1" t="s">
        <v>73</v>
      </c>
      <c r="D51" s="7">
        <v>3</v>
      </c>
      <c r="E51" s="5" t="s">
        <v>8</v>
      </c>
      <c r="F51" s="11"/>
      <c r="G51" s="11" t="s">
        <v>11</v>
      </c>
      <c r="H51" s="15"/>
    </row>
    <row r="52" spans="2:8" ht="18.75">
      <c r="B52" s="1" t="s">
        <v>52</v>
      </c>
      <c r="C52" s="1" t="s">
        <v>95</v>
      </c>
      <c r="D52" s="7">
        <v>2</v>
      </c>
      <c r="E52" s="5" t="s">
        <v>8</v>
      </c>
      <c r="F52" s="11"/>
      <c r="G52" s="11" t="s">
        <v>11</v>
      </c>
      <c r="H52" s="15"/>
    </row>
    <row r="53" spans="2:8" ht="18.75">
      <c r="B53" s="1" t="s">
        <v>52</v>
      </c>
      <c r="C53" s="1" t="s">
        <v>99</v>
      </c>
      <c r="D53" s="7">
        <v>3</v>
      </c>
      <c r="E53" s="5" t="s">
        <v>8</v>
      </c>
      <c r="F53" s="11"/>
      <c r="G53" s="11" t="s">
        <v>12</v>
      </c>
      <c r="H53" s="15"/>
    </row>
    <row r="54" spans="2:8" ht="18.75">
      <c r="B54" s="1" t="s">
        <v>52</v>
      </c>
      <c r="C54" s="1" t="s">
        <v>85</v>
      </c>
      <c r="D54" s="7">
        <v>1</v>
      </c>
      <c r="E54" s="5" t="s">
        <v>8</v>
      </c>
      <c r="F54" s="11"/>
      <c r="G54" s="11" t="s">
        <v>11</v>
      </c>
      <c r="H54" s="15"/>
    </row>
    <row r="55" spans="2:8" ht="18.75">
      <c r="B55" s="2"/>
      <c r="C55" s="2"/>
      <c r="D55" s="7"/>
      <c r="E55" s="6"/>
      <c r="F55" s="12"/>
      <c r="G55" s="12"/>
      <c r="H55" s="16"/>
    </row>
    <row r="56" spans="2:8" ht="18.75">
      <c r="B56" s="1" t="s">
        <v>89</v>
      </c>
      <c r="C56" s="1" t="s">
        <v>90</v>
      </c>
      <c r="D56" s="4">
        <v>2</v>
      </c>
      <c r="E56" s="5" t="s">
        <v>8</v>
      </c>
      <c r="F56" s="11"/>
      <c r="G56" s="11" t="s">
        <v>12</v>
      </c>
      <c r="H56" s="15"/>
    </row>
    <row r="57" spans="2:8" ht="18.75">
      <c r="B57" s="1" t="s">
        <v>89</v>
      </c>
      <c r="C57" s="1" t="s">
        <v>91</v>
      </c>
      <c r="D57" s="7">
        <v>2</v>
      </c>
      <c r="E57" s="5" t="s">
        <v>8</v>
      </c>
      <c r="F57" s="11"/>
      <c r="G57" s="11" t="s">
        <v>12</v>
      </c>
      <c r="H57" s="15"/>
    </row>
    <row r="58" spans="2:8" ht="18.75">
      <c r="B58" s="1" t="s">
        <v>89</v>
      </c>
      <c r="C58" s="1" t="s">
        <v>92</v>
      </c>
      <c r="D58" s="7">
        <v>2</v>
      </c>
      <c r="E58" s="5" t="s">
        <v>8</v>
      </c>
      <c r="F58" s="11"/>
      <c r="G58" s="11" t="s">
        <v>12</v>
      </c>
      <c r="H58" s="15"/>
    </row>
    <row r="59" spans="2:8" ht="18.75">
      <c r="B59" s="1" t="s">
        <v>89</v>
      </c>
      <c r="C59" s="1" t="s">
        <v>93</v>
      </c>
      <c r="D59" s="7">
        <v>2</v>
      </c>
      <c r="E59" s="5" t="s">
        <v>8</v>
      </c>
      <c r="F59" s="11"/>
      <c r="G59" s="11" t="s">
        <v>12</v>
      </c>
      <c r="H59" s="15"/>
    </row>
    <row r="60" spans="2:8" ht="18.75">
      <c r="B60" s="1"/>
      <c r="C60" s="1"/>
      <c r="D60" s="7"/>
      <c r="E60" s="5"/>
      <c r="F60" s="11"/>
      <c r="G60" s="11"/>
      <c r="H60" s="15"/>
    </row>
    <row r="61" spans="2:8" ht="18.75">
      <c r="B61" s="3" t="s">
        <v>98</v>
      </c>
      <c r="C61" s="3" t="s">
        <v>29</v>
      </c>
      <c r="D61" s="4">
        <v>2</v>
      </c>
      <c r="E61" s="4" t="s">
        <v>8</v>
      </c>
      <c r="F61" s="10"/>
      <c r="G61" s="10" t="s">
        <v>12</v>
      </c>
      <c r="H61" s="14" t="s">
        <v>30</v>
      </c>
    </row>
    <row r="62" spans="2:8" ht="18.75">
      <c r="B62" s="1" t="s">
        <v>98</v>
      </c>
      <c r="C62" s="1" t="s">
        <v>31</v>
      </c>
      <c r="D62" s="7">
        <v>2</v>
      </c>
      <c r="E62" s="5" t="s">
        <v>8</v>
      </c>
      <c r="F62" s="11"/>
      <c r="G62" s="11" t="s">
        <v>12</v>
      </c>
      <c r="H62" s="15"/>
    </row>
    <row r="63" spans="2:8" ht="18.75">
      <c r="B63" s="1" t="s">
        <v>98</v>
      </c>
      <c r="C63" s="1" t="s">
        <v>80</v>
      </c>
      <c r="D63" s="7">
        <v>4</v>
      </c>
      <c r="E63" s="5" t="s">
        <v>8</v>
      </c>
      <c r="F63" s="11"/>
      <c r="G63" s="11" t="s">
        <v>12</v>
      </c>
      <c r="H63" s="15"/>
    </row>
    <row r="64" spans="2:8" ht="18.75">
      <c r="B64" s="1" t="s">
        <v>98</v>
      </c>
      <c r="C64" s="1" t="s">
        <v>32</v>
      </c>
      <c r="D64" s="7">
        <v>4</v>
      </c>
      <c r="E64" s="5" t="s">
        <v>8</v>
      </c>
      <c r="F64" s="11"/>
      <c r="G64" s="11" t="s">
        <v>12</v>
      </c>
      <c r="H64" s="15" t="s">
        <v>33</v>
      </c>
    </row>
    <row r="65" spans="2:8" ht="18.75">
      <c r="B65" s="1" t="s">
        <v>98</v>
      </c>
      <c r="C65" s="1" t="s">
        <v>34</v>
      </c>
      <c r="D65" s="7">
        <v>4</v>
      </c>
      <c r="E65" s="5" t="s">
        <v>8</v>
      </c>
      <c r="F65" s="11"/>
      <c r="G65" s="11" t="s">
        <v>12</v>
      </c>
      <c r="H65" s="15" t="s">
        <v>96</v>
      </c>
    </row>
    <row r="66" spans="2:8" ht="18.75">
      <c r="B66" s="1" t="s">
        <v>98</v>
      </c>
      <c r="C66" s="1" t="s">
        <v>78</v>
      </c>
      <c r="D66" s="7">
        <v>6</v>
      </c>
      <c r="E66" s="5" t="s">
        <v>8</v>
      </c>
      <c r="F66" s="11"/>
      <c r="G66" s="11" t="s">
        <v>9</v>
      </c>
      <c r="H66" s="15" t="s">
        <v>83</v>
      </c>
    </row>
    <row r="67" spans="2:8" ht="18.75">
      <c r="B67" s="1" t="s">
        <v>98</v>
      </c>
      <c r="C67" s="1" t="s">
        <v>79</v>
      </c>
      <c r="D67" s="7">
        <v>3</v>
      </c>
      <c r="E67" s="5" t="s">
        <v>8</v>
      </c>
      <c r="F67" s="11"/>
      <c r="G67" s="11" t="s">
        <v>12</v>
      </c>
      <c r="H67" s="15"/>
    </row>
    <row r="68" spans="2:8" ht="18.75">
      <c r="B68" s="1" t="s">
        <v>98</v>
      </c>
      <c r="C68" s="1" t="s">
        <v>124</v>
      </c>
      <c r="D68" s="7">
        <v>2</v>
      </c>
      <c r="E68" s="5" t="s">
        <v>8</v>
      </c>
      <c r="F68" s="11"/>
      <c r="G68" s="11" t="s">
        <v>12</v>
      </c>
      <c r="H68" s="15"/>
    </row>
    <row r="69" spans="2:8" ht="18.75">
      <c r="B69" s="1"/>
      <c r="C69" s="1"/>
      <c r="D69" s="7"/>
      <c r="E69" s="5"/>
      <c r="F69" s="11"/>
      <c r="G69" s="11"/>
      <c r="H69" s="15"/>
    </row>
    <row r="70" spans="2:8" ht="18.75">
      <c r="B70" s="3" t="s">
        <v>35</v>
      </c>
      <c r="C70" s="3" t="s">
        <v>55</v>
      </c>
      <c r="D70" s="8">
        <v>2</v>
      </c>
      <c r="E70" s="4" t="s">
        <v>8</v>
      </c>
      <c r="F70" s="10"/>
      <c r="G70" s="10" t="s">
        <v>12</v>
      </c>
      <c r="H70" s="14"/>
    </row>
    <row r="71" spans="2:8" ht="18.75">
      <c r="B71" s="1" t="s">
        <v>56</v>
      </c>
      <c r="C71" s="1" t="s">
        <v>57</v>
      </c>
      <c r="D71" s="7">
        <v>2</v>
      </c>
      <c r="E71" s="5" t="s">
        <v>8</v>
      </c>
      <c r="F71" s="11"/>
      <c r="G71" s="11" t="s">
        <v>12</v>
      </c>
      <c r="H71" s="15"/>
    </row>
    <row r="72" spans="2:8" ht="18.75">
      <c r="B72" s="1" t="s">
        <v>35</v>
      </c>
      <c r="C72" s="1" t="s">
        <v>54</v>
      </c>
      <c r="D72" s="7">
        <v>2</v>
      </c>
      <c r="E72" s="5" t="s">
        <v>8</v>
      </c>
      <c r="F72" s="11"/>
      <c r="G72" s="11" t="s">
        <v>12</v>
      </c>
      <c r="H72" s="15"/>
    </row>
    <row r="73" spans="2:8" ht="18.75">
      <c r="B73" s="1" t="s">
        <v>35</v>
      </c>
      <c r="C73" s="1" t="s">
        <v>37</v>
      </c>
      <c r="D73" s="7">
        <v>2</v>
      </c>
      <c r="E73" s="5" t="s">
        <v>8</v>
      </c>
      <c r="F73" s="11"/>
      <c r="G73" s="11" t="s">
        <v>12</v>
      </c>
      <c r="H73" s="15"/>
    </row>
    <row r="74" spans="2:8" ht="18.75">
      <c r="B74" s="1" t="s">
        <v>35</v>
      </c>
      <c r="C74" s="1" t="s">
        <v>102</v>
      </c>
      <c r="D74" s="7">
        <v>0.5</v>
      </c>
      <c r="E74" s="5" t="s">
        <v>8</v>
      </c>
      <c r="F74" s="11"/>
      <c r="G74" s="11" t="s">
        <v>12</v>
      </c>
      <c r="H74" s="15"/>
    </row>
    <row r="75" spans="2:8" ht="18.75">
      <c r="B75" s="2"/>
      <c r="C75" s="2"/>
      <c r="D75" s="7"/>
      <c r="E75" s="6"/>
      <c r="F75" s="12"/>
      <c r="G75" s="12"/>
      <c r="H75" s="16"/>
    </row>
    <row r="76" spans="2:8" ht="18.75">
      <c r="B76" s="1" t="s">
        <v>38</v>
      </c>
      <c r="C76" s="1" t="s">
        <v>39</v>
      </c>
      <c r="D76" s="4">
        <v>1</v>
      </c>
      <c r="E76" s="5" t="s">
        <v>8</v>
      </c>
      <c r="F76" s="11"/>
      <c r="G76" s="11" t="s">
        <v>12</v>
      </c>
      <c r="H76" s="15"/>
    </row>
    <row r="77" spans="2:8" ht="18.75">
      <c r="B77" s="1" t="s">
        <v>38</v>
      </c>
      <c r="C77" s="1" t="s">
        <v>40</v>
      </c>
      <c r="D77" s="7">
        <v>0.5</v>
      </c>
      <c r="E77" s="5" t="s">
        <v>8</v>
      </c>
      <c r="F77" s="11"/>
      <c r="G77" s="11" t="s">
        <v>12</v>
      </c>
      <c r="H77" s="15"/>
    </row>
    <row r="78" spans="2:8" ht="18.75">
      <c r="B78" s="1" t="s">
        <v>38</v>
      </c>
      <c r="C78" s="1" t="s">
        <v>41</v>
      </c>
      <c r="D78" s="7">
        <v>1</v>
      </c>
      <c r="E78" s="5" t="s">
        <v>13</v>
      </c>
      <c r="F78" s="11"/>
      <c r="G78" s="11" t="s">
        <v>12</v>
      </c>
      <c r="H78" s="15"/>
    </row>
    <row r="79" spans="2:8" ht="18.75">
      <c r="B79" s="1" t="s">
        <v>38</v>
      </c>
      <c r="C79" s="1" t="s">
        <v>116</v>
      </c>
      <c r="D79" s="7">
        <v>1</v>
      </c>
      <c r="E79" s="5" t="s">
        <v>13</v>
      </c>
      <c r="F79" s="11"/>
      <c r="G79" s="11" t="s">
        <v>12</v>
      </c>
      <c r="H79" s="15"/>
    </row>
    <row r="80" spans="2:8" ht="18.75">
      <c r="B80" s="1" t="s">
        <v>38</v>
      </c>
      <c r="C80" s="1" t="s">
        <v>102</v>
      </c>
      <c r="D80" s="7">
        <v>0.5</v>
      </c>
      <c r="E80" s="5" t="s">
        <v>8</v>
      </c>
      <c r="F80" s="11"/>
      <c r="G80" s="11" t="s">
        <v>12</v>
      </c>
      <c r="H80" s="15"/>
    </row>
    <row r="81" spans="2:8" ht="18.75">
      <c r="B81" s="1"/>
      <c r="C81" s="1"/>
      <c r="D81" s="7"/>
      <c r="E81" s="5"/>
      <c r="F81" s="11"/>
      <c r="G81" s="11"/>
      <c r="H81" s="15"/>
    </row>
    <row r="82" spans="2:8" ht="18.75">
      <c r="B82" s="3" t="s">
        <v>101</v>
      </c>
      <c r="C82" s="3" t="s">
        <v>102</v>
      </c>
      <c r="D82" s="8">
        <v>0.5</v>
      </c>
      <c r="E82" s="4" t="s">
        <v>8</v>
      </c>
      <c r="F82" s="10"/>
      <c r="G82" s="10" t="s">
        <v>12</v>
      </c>
      <c r="H82" s="14"/>
    </row>
    <row r="83" spans="2:8" ht="18.75">
      <c r="B83" s="1" t="s">
        <v>100</v>
      </c>
      <c r="C83" s="1" t="s">
        <v>40</v>
      </c>
      <c r="D83" s="7">
        <v>0.5</v>
      </c>
      <c r="E83" s="5" t="s">
        <v>8</v>
      </c>
      <c r="F83" s="11"/>
      <c r="G83" s="11" t="s">
        <v>12</v>
      </c>
      <c r="H83" s="15"/>
    </row>
    <row r="84" spans="2:8" ht="18.75">
      <c r="B84" s="1" t="s">
        <v>100</v>
      </c>
      <c r="C84" s="1" t="s">
        <v>106</v>
      </c>
      <c r="D84" s="7">
        <v>1</v>
      </c>
      <c r="E84" s="5" t="s">
        <v>13</v>
      </c>
      <c r="F84" s="11"/>
      <c r="G84" s="11" t="s">
        <v>12</v>
      </c>
      <c r="H84" s="15"/>
    </row>
    <row r="85" spans="2:8" ht="18.75">
      <c r="B85" s="1" t="s">
        <v>101</v>
      </c>
      <c r="C85" s="47" t="s">
        <v>104</v>
      </c>
      <c r="D85" s="7">
        <v>1</v>
      </c>
      <c r="E85" s="5" t="s">
        <v>15</v>
      </c>
      <c r="F85" s="11"/>
      <c r="G85" s="11" t="s">
        <v>9</v>
      </c>
      <c r="H85" s="15" t="s">
        <v>105</v>
      </c>
    </row>
    <row r="86" spans="2:8" ht="18.75">
      <c r="B86" s="1" t="s">
        <v>101</v>
      </c>
      <c r="C86" s="51" t="s">
        <v>125</v>
      </c>
      <c r="D86" s="50">
        <v>1</v>
      </c>
      <c r="E86" s="50" t="s">
        <v>8</v>
      </c>
      <c r="F86" s="50"/>
      <c r="G86" s="5" t="s">
        <v>12</v>
      </c>
      <c r="H86" s="15" t="s">
        <v>117</v>
      </c>
    </row>
    <row r="87" spans="2:8" ht="18.75">
      <c r="B87" s="1"/>
      <c r="C87" s="1"/>
      <c r="D87" s="7"/>
      <c r="E87" s="5"/>
      <c r="F87" s="11"/>
      <c r="G87" s="11"/>
      <c r="H87" s="15"/>
    </row>
    <row r="88" spans="2:8" ht="18.75">
      <c r="B88" s="3" t="s">
        <v>42</v>
      </c>
      <c r="C88" s="3" t="s">
        <v>43</v>
      </c>
      <c r="D88" s="4">
        <v>2</v>
      </c>
      <c r="E88" s="4" t="s">
        <v>10</v>
      </c>
      <c r="F88" s="4"/>
      <c r="G88" s="10" t="s">
        <v>9</v>
      </c>
      <c r="H88" s="14" t="s">
        <v>44</v>
      </c>
    </row>
    <row r="89" spans="2:8" ht="18.75">
      <c r="B89" s="1" t="s">
        <v>42</v>
      </c>
      <c r="C89" s="1" t="s">
        <v>45</v>
      </c>
      <c r="D89" s="7">
        <v>1</v>
      </c>
      <c r="E89" s="5" t="s">
        <v>8</v>
      </c>
      <c r="F89" s="11"/>
      <c r="G89" s="11" t="s">
        <v>9</v>
      </c>
      <c r="H89" s="15"/>
    </row>
    <row r="90" spans="2:8" ht="18.75">
      <c r="B90" s="1" t="s">
        <v>42</v>
      </c>
      <c r="C90" s="1" t="s">
        <v>46</v>
      </c>
      <c r="D90" s="7">
        <v>1</v>
      </c>
      <c r="E90" s="5" t="s">
        <v>8</v>
      </c>
      <c r="F90" s="11"/>
      <c r="G90" s="11" t="s">
        <v>9</v>
      </c>
      <c r="H90" s="15" t="s">
        <v>62</v>
      </c>
    </row>
    <row r="91" spans="2:8" ht="18.75">
      <c r="B91" s="1" t="s">
        <v>42</v>
      </c>
      <c r="C91" s="1" t="s">
        <v>40</v>
      </c>
      <c r="D91" s="7">
        <v>0.5</v>
      </c>
      <c r="E91" s="5" t="s">
        <v>8</v>
      </c>
      <c r="F91" s="11"/>
      <c r="G91" s="11" t="s">
        <v>9</v>
      </c>
      <c r="H91" s="15"/>
    </row>
    <row r="92" spans="2:8" ht="18.75">
      <c r="B92" s="1" t="s">
        <v>42</v>
      </c>
      <c r="C92" s="1" t="s">
        <v>41</v>
      </c>
      <c r="D92" s="7">
        <v>1</v>
      </c>
      <c r="E92" s="5" t="s">
        <v>13</v>
      </c>
      <c r="F92" s="11"/>
      <c r="G92" s="11" t="s">
        <v>9</v>
      </c>
      <c r="H92" s="15"/>
    </row>
    <row r="93" spans="2:8" ht="18.75">
      <c r="B93" s="1" t="s">
        <v>42</v>
      </c>
      <c r="C93" s="1" t="s">
        <v>116</v>
      </c>
      <c r="D93" s="7">
        <v>1</v>
      </c>
      <c r="E93" s="5" t="s">
        <v>13</v>
      </c>
      <c r="F93" s="11"/>
      <c r="G93" s="11" t="s">
        <v>9</v>
      </c>
      <c r="H93" s="15"/>
    </row>
    <row r="94" spans="2:8" ht="18.75">
      <c r="B94" s="2"/>
      <c r="C94" s="2"/>
      <c r="D94" s="7"/>
      <c r="E94" s="6"/>
      <c r="F94" s="12"/>
      <c r="G94" s="12"/>
      <c r="H94" s="16"/>
    </row>
    <row r="95" spans="2:8" ht="18.75">
      <c r="B95" s="1" t="s">
        <v>115</v>
      </c>
      <c r="C95" s="3" t="s">
        <v>85</v>
      </c>
      <c r="D95" s="8">
        <v>0.5</v>
      </c>
      <c r="E95" s="4" t="s">
        <v>8</v>
      </c>
      <c r="F95" s="10"/>
      <c r="G95" s="10" t="s">
        <v>12</v>
      </c>
      <c r="H95" s="15"/>
    </row>
    <row r="96" spans="2:8" ht="18.75">
      <c r="B96" s="1" t="s">
        <v>114</v>
      </c>
      <c r="C96" s="1" t="s">
        <v>40</v>
      </c>
      <c r="D96" s="7">
        <v>0.5</v>
      </c>
      <c r="E96" s="5" t="s">
        <v>8</v>
      </c>
      <c r="F96" s="11"/>
      <c r="G96" s="11" t="s">
        <v>12</v>
      </c>
      <c r="H96" s="15"/>
    </row>
    <row r="97" spans="2:8" ht="18.75">
      <c r="B97" s="1" t="s">
        <v>114</v>
      </c>
      <c r="C97" s="1" t="s">
        <v>41</v>
      </c>
      <c r="D97" s="7">
        <v>1</v>
      </c>
      <c r="E97" s="5" t="s">
        <v>13</v>
      </c>
      <c r="F97" s="11"/>
      <c r="G97" s="11" t="s">
        <v>12</v>
      </c>
      <c r="H97" s="15"/>
    </row>
    <row r="98" spans="2:8" ht="18.75">
      <c r="B98" s="1" t="s">
        <v>114</v>
      </c>
      <c r="C98" s="1" t="s">
        <v>116</v>
      </c>
      <c r="D98" s="7">
        <v>1</v>
      </c>
      <c r="E98" s="5" t="s">
        <v>13</v>
      </c>
      <c r="F98" s="11"/>
      <c r="G98" s="11" t="s">
        <v>12</v>
      </c>
      <c r="H98" s="15" t="s">
        <v>118</v>
      </c>
    </row>
    <row r="99" spans="2:8" ht="18.75">
      <c r="B99" s="2"/>
      <c r="C99" s="2"/>
      <c r="D99" s="9"/>
      <c r="E99" s="6"/>
      <c r="F99" s="12"/>
      <c r="G99" s="12"/>
      <c r="H99" s="16"/>
    </row>
    <row r="100" spans="2:8" ht="18.75">
      <c r="C100"/>
      <c r="D100" s="7"/>
      <c r="H100" s="13"/>
    </row>
    <row r="101" spans="2:8" ht="18.75">
      <c r="C101"/>
      <c r="D101" s="7"/>
      <c r="H101" s="13"/>
    </row>
    <row r="102" spans="2:8" ht="18.75">
      <c r="C102"/>
      <c r="D102" s="7"/>
      <c r="H102" s="13"/>
    </row>
    <row r="103" spans="2:8" ht="18.75">
      <c r="C103"/>
      <c r="D103" s="7"/>
      <c r="H103" s="13"/>
    </row>
    <row r="104" spans="2:8" ht="18.75">
      <c r="C104"/>
      <c r="D104" s="7"/>
      <c r="H104" s="13"/>
    </row>
    <row r="105" spans="2:8" ht="18.75">
      <c r="C105"/>
      <c r="D105" s="7"/>
      <c r="H105" s="13"/>
    </row>
    <row r="106" spans="2:8" ht="18.75">
      <c r="C106"/>
      <c r="D106" s="7"/>
      <c r="H106" s="13"/>
    </row>
    <row r="107" spans="2:8" ht="18.75">
      <c r="C107"/>
      <c r="D107" s="7"/>
      <c r="H107" s="13"/>
    </row>
    <row r="108" spans="2:8" ht="18.75">
      <c r="C108"/>
      <c r="D108" s="7"/>
      <c r="H108" s="13"/>
    </row>
    <row r="109" spans="2:8" ht="18.75">
      <c r="C109"/>
      <c r="D109" s="7"/>
      <c r="H109" s="13"/>
    </row>
    <row r="110" spans="2:8" ht="18.75">
      <c r="C110"/>
      <c r="D110" s="7"/>
      <c r="H110" s="13"/>
    </row>
    <row r="111" spans="2:8" ht="18.75">
      <c r="C111"/>
      <c r="D111" s="7"/>
      <c r="H111" s="13"/>
    </row>
    <row r="112" spans="2:8" ht="18.75"/>
    <row r="113" spans="3:8" ht="18.75"/>
    <row r="114" spans="3:8" ht="18.75"/>
    <row r="115" spans="3:8" ht="18.75"/>
    <row r="116" spans="3:8" ht="18.75">
      <c r="C116"/>
      <c r="D116" s="7"/>
      <c r="H116" s="13"/>
    </row>
    <row r="117" spans="3:8" ht="18.75">
      <c r="C117"/>
      <c r="D117" s="7"/>
      <c r="H117" s="13"/>
    </row>
    <row r="118" spans="3:8" ht="18.75">
      <c r="H118" s="13"/>
    </row>
    <row r="119" spans="3:8" ht="18.75">
      <c r="C119"/>
      <c r="D119" s="7"/>
      <c r="H119" s="13"/>
    </row>
    <row r="120" spans="3:8" ht="18.75">
      <c r="C120"/>
      <c r="D120" s="7"/>
      <c r="H120" s="13"/>
    </row>
    <row r="121" spans="3:8" ht="18.75">
      <c r="C121"/>
      <c r="D121" s="7"/>
      <c r="H121" s="13"/>
    </row>
    <row r="122" spans="3:8" ht="18.75">
      <c r="C122"/>
      <c r="D122" s="7"/>
      <c r="H122" s="13"/>
    </row>
  </sheetData>
  <autoFilter ref="E2:G122" xr:uid="{00000000-0001-0000-0000-000000000000}"/>
  <phoneticPr fontId="1"/>
  <pageMargins left="0.7" right="0.7" top="0.75" bottom="0.75" header="0.3" footer="0.3"/>
  <pageSetup paperSize="9" orientation="portrait" horizontalDpi="1200" verticalDpi="12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3D83F3-3B26-4E37-A8DD-007161044665}">
          <x14:formula1>
            <xm:f>プルダウン用!$B$3:$B$6</xm:f>
          </x14:formula1>
          <xm:sqref>G116:G117 G119:G1048576 G18:G111 G1:G16</xm:sqref>
        </x14:dataValidation>
        <x14:dataValidation type="list" allowBlank="1" showInputMessage="1" showErrorMessage="1" xr:uid="{66D8840C-D443-486F-BC72-01200775D285}">
          <x14:formula1>
            <xm:f>プルダウン用!$D$3:$D$6</xm:f>
          </x14:formula1>
          <xm:sqref>F119:F1048576 F1:F117</xm:sqref>
        </x14:dataValidation>
        <x14:dataValidation type="list" allowBlank="1" showInputMessage="1" showErrorMessage="1" xr:uid="{D61B1C0A-2748-4606-B0EE-00EEC89A23C6}">
          <x14:formula1>
            <xm:f>プルダウン用!$F$3:$F$6</xm:f>
          </x14:formula1>
          <xm:sqref>E116:E117 E119:E1048576 E18:E111 E1:E16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27"/>
  <sheetViews>
    <sheetView tabSelected="1" workbookViewId="0">
      <selection activeCell="K10" sqref="K10"/>
    </sheetView>
  </sheetViews>
  <sheetFormatPr defaultRowHeight="18.75"/>
  <cols>
    <col min="2" max="2" width="20" bestFit="1" customWidth="1"/>
    <col min="3" max="3" width="11.25" bestFit="1" customWidth="1"/>
    <col min="4" max="4" width="11.25" customWidth="1"/>
    <col min="5" max="6" width="13.25" bestFit="1" customWidth="1"/>
    <col min="7" max="7" width="11.125" bestFit="1" customWidth="1"/>
    <col min="9" max="9" width="48.125" bestFit="1" customWidth="1"/>
    <col min="10" max="10" width="11.25" bestFit="1" customWidth="1"/>
    <col min="11" max="11" width="18.875" bestFit="1" customWidth="1"/>
    <col min="12" max="12" width="17.75" customWidth="1"/>
    <col min="13" max="13" width="16.25" customWidth="1"/>
  </cols>
  <sheetData>
    <row r="2" spans="2:13" ht="19.5">
      <c r="B2" s="37" t="s">
        <v>0</v>
      </c>
      <c r="C2" s="37" t="s">
        <v>97</v>
      </c>
      <c r="D2" s="48" t="s">
        <v>82</v>
      </c>
      <c r="E2" s="48" t="s">
        <v>112</v>
      </c>
      <c r="F2" s="48" t="s">
        <v>113</v>
      </c>
      <c r="G2" s="35" t="s">
        <v>47</v>
      </c>
      <c r="I2" s="28" t="s">
        <v>16</v>
      </c>
      <c r="J2" s="27">
        <f>SUM(C:C)</f>
        <v>160.5</v>
      </c>
      <c r="K2" s="27"/>
      <c r="L2" s="26"/>
      <c r="M2" s="26"/>
    </row>
    <row r="3" spans="2:13" ht="19.5">
      <c r="B3" s="18" t="s">
        <v>7</v>
      </c>
      <c r="C3" s="19">
        <f>SUMIF(コスト表!B:B, B3, コスト表!D:D)</f>
        <v>17</v>
      </c>
      <c r="D3" s="49">
        <f>SUMIFS(コスト表!D:D, コスト表!B:B, "プレイヤー", コスト表!G:G, "完了")</f>
        <v>16</v>
      </c>
      <c r="E3" s="49">
        <f>SUMIFS(コスト表!D:D, コスト表!B:B, "プレイヤー", コスト表!G:G, "作業中")</f>
        <v>1</v>
      </c>
      <c r="F3" s="49">
        <f>SUMIFS(コスト表!D:D, コスト表!B:B, "プレイヤー", コスト表!G:G, "未着手")</f>
        <v>0</v>
      </c>
      <c r="G3" s="38">
        <f>ROUNDDOWN(COUNTIFS(コスト表!B:B, "プレイヤー", コスト表!G:G, "完了") / COUNTIF(コスト表!B:B, "プレイヤー") * 100,1)</f>
        <v>92.8</v>
      </c>
      <c r="I3" s="29" t="s">
        <v>17</v>
      </c>
      <c r="J3" s="27">
        <f>SUMIF(コスト表!G:G,"完了",コスト表!D:D)</f>
        <v>127</v>
      </c>
      <c r="K3" s="26" t="s">
        <v>18</v>
      </c>
      <c r="M3" s="26"/>
    </row>
    <row r="4" spans="2:13" ht="19.5">
      <c r="B4" s="1" t="s">
        <v>111</v>
      </c>
      <c r="C4" s="19">
        <f>SUMIF(コスト表!B:B, B4, コスト表!D:D)</f>
        <v>27</v>
      </c>
      <c r="D4" s="49">
        <f>SUMIFS(コスト表!D:D, コスト表!B:B, "敵ベース", コスト表!G:G, "完了")</f>
        <v>21</v>
      </c>
      <c r="E4" s="49">
        <f>SUMIFS(コスト表!D:D, コスト表!B:B, "敵ベース", コスト表!G:G, "作業中")</f>
        <v>6</v>
      </c>
      <c r="F4" s="49">
        <f>SUMIFS(コスト表!D:D, コスト表!B:B, "敵ベース", コスト表!G:G, "未着手")</f>
        <v>0</v>
      </c>
      <c r="G4" s="38">
        <f>ROUNDDOWN(COUNTIFS(コスト表!B:B, "敵ベース", コスト表!G:G, "完了") / COUNTIF(コスト表!B:B, "敵ベース") * 100,1)</f>
        <v>71.400000000000006</v>
      </c>
      <c r="I4" s="30" t="s">
        <v>19</v>
      </c>
      <c r="J4" s="27">
        <f ca="1">NETWORKDAYS(J5,J6)</f>
        <v>90</v>
      </c>
      <c r="K4" s="27">
        <f ca="1" xml:space="preserve"> ROUNDDOWN(J3 / J4,1)</f>
        <v>1.4</v>
      </c>
      <c r="M4" s="26"/>
    </row>
    <row r="5" spans="2:13" ht="19.5">
      <c r="B5" s="18" t="s">
        <v>24</v>
      </c>
      <c r="C5" s="19">
        <f>SUMIF(コスト表!B:B, B5, コスト表!D:D)</f>
        <v>10.5</v>
      </c>
      <c r="D5" s="49">
        <f>SUMIFS(コスト表!D:D, コスト表!B:B, "敵1(通常ゾンビ)", コスト表!G:G, "完了")</f>
        <v>9.5</v>
      </c>
      <c r="E5" s="49">
        <f>SUMIFS(コスト表!D:D, コスト表!B:B, "敵1(通常ゾンビ)", コスト表!G:G, "作業中")</f>
        <v>1</v>
      </c>
      <c r="F5" s="49">
        <f>SUMIFS(コスト表!D:D, コスト表!B:B, "敵1(通常ゾンビ)", コスト表!G:G, "未着手")</f>
        <v>0</v>
      </c>
      <c r="G5" s="38">
        <f>ROUNDDOWN(COUNTIFS(コスト表!B:B, "敵1(通常ゾンビ)", コスト表!G:G, "完了") / COUNTIF(コスト表!B:B, "敵1(通常ゾンビ)") * 100,1)</f>
        <v>83.3</v>
      </c>
      <c r="I5" s="31" t="s">
        <v>20</v>
      </c>
      <c r="J5" s="44">
        <f>DATE(2025,10,1)</f>
        <v>45931</v>
      </c>
      <c r="K5" s="44"/>
      <c r="L5" s="26"/>
      <c r="M5" s="26"/>
    </row>
    <row r="6" spans="2:13" ht="19.5">
      <c r="B6" s="18" t="s">
        <v>25</v>
      </c>
      <c r="C6" s="19">
        <f>SUMIF(コスト表!B:B, B6, コスト表!D:D)</f>
        <v>10.5</v>
      </c>
      <c r="D6" s="49">
        <f>SUMIFS(コスト表!D:D, コスト表!B:B, "敵2(ランナーゾンビ)", コスト表!G:G, "完了")</f>
        <v>9.5</v>
      </c>
      <c r="E6" s="49">
        <f>SUMIFS(コスト表!D:D, コスト表!B:B, "敵2(ランナーゾンビ)", コスト表!G:G, "作業中")</f>
        <v>1</v>
      </c>
      <c r="F6" s="49">
        <f>SUMIFS(コスト表!D:D,コスト表!B:B,"敵2(ランナーゾンビ)",コスト表!G:G,"未着手")</f>
        <v>0</v>
      </c>
      <c r="G6" s="38">
        <f>ROUNDDOWN(COUNTIFS(コスト表!B:B, "敵2(ランナーゾンビ)", コスト表!G:G, "完了") / COUNTIF(コスト表!B:B, "敵2(ランナーゾンビ)") * 100,1)</f>
        <v>83.3</v>
      </c>
      <c r="I6" s="32" t="s">
        <v>21</v>
      </c>
      <c r="J6" s="44">
        <f ca="1">TODAY()</f>
        <v>46056</v>
      </c>
      <c r="K6" s="44"/>
      <c r="L6" s="26"/>
      <c r="M6" s="26"/>
    </row>
    <row r="7" spans="2:13">
      <c r="B7" s="18" t="s">
        <v>63</v>
      </c>
      <c r="C7" s="19">
        <f>SUMIF(コスト表!B:B, B7, コスト表!D:D)</f>
        <v>10.5</v>
      </c>
      <c r="D7" s="49">
        <f>SUMIFS(コスト表!D:D, コスト表!B:B, "敵3(遠距離型ゾンビ)", コスト表!G:G, "完了")</f>
        <v>9.5</v>
      </c>
      <c r="E7" s="49">
        <f>SUMIFS(コスト表!D:D, コスト表!B:B, "敵3(遠距離型ゾンビ)", コスト表!G:G, "作業中")</f>
        <v>1</v>
      </c>
      <c r="F7" s="49">
        <f>SUMIFS(コスト表!D:D, コスト表!B:B, "敵3(遠距離型ゾンビ)", コスト表!G:G, "未着手")</f>
        <v>0</v>
      </c>
      <c r="G7" s="38">
        <f>ROUNDDOWN(COUNTIFS(コスト表!B:B, "敵3(遠距離型ゾンビ)", コスト表!G:G, "完了") / COUNTIF(コスト表!B:B, "敵3(遠距離型ゾンビ)") * 100,1)</f>
        <v>83.3</v>
      </c>
      <c r="M7" s="26"/>
    </row>
    <row r="8" spans="2:13">
      <c r="B8" s="18" t="s">
        <v>53</v>
      </c>
      <c r="C8" s="19">
        <f>SUMIF(コスト表!B:B, B8, コスト表!D:D)</f>
        <v>24</v>
      </c>
      <c r="D8" s="49">
        <f>SUMIFS(コスト表!D:D, コスト表!B:B, "ボス(ゾンビを召喚)", コスト表!G:G, "完了")</f>
        <v>14</v>
      </c>
      <c r="E8" s="49">
        <f>SUMIFS(コスト表!D:D, コスト表!B:B, "ボス(ゾンビを召喚)", コスト表!G:G, "作業中")</f>
        <v>6</v>
      </c>
      <c r="F8" s="49">
        <f>SUMIFS(コスト表!D:D,コスト表!B:B,"ボス(ゾンビを召喚)",コスト表!G:G,"未着手")</f>
        <v>4</v>
      </c>
      <c r="G8" s="38">
        <f>ROUNDDOWN(COUNTIFS(コスト表!B:B, "ボス(ゾンビを召喚)", コスト表!G:G, "完了") / COUNTIF(コスト表!B:B, "ボス(ゾンビを召喚)") * 100,1)</f>
        <v>50</v>
      </c>
      <c r="I8" s="40" t="s">
        <v>4</v>
      </c>
      <c r="J8" s="40" t="s">
        <v>49</v>
      </c>
      <c r="K8" s="40" t="s">
        <v>82</v>
      </c>
      <c r="L8" s="40" t="s">
        <v>50</v>
      </c>
    </row>
    <row r="9" spans="2:13">
      <c r="B9" s="1" t="s">
        <v>94</v>
      </c>
      <c r="C9" s="19">
        <f>SUMIF(コスト表!B:B, B9, コスト表!D:D)</f>
        <v>8</v>
      </c>
      <c r="D9" s="49">
        <f>SUMIFS(コスト表!D:D, コスト表!B:B, "マップ", コスト表!G:G, "完了")</f>
        <v>8</v>
      </c>
      <c r="E9" s="49">
        <f>SUMIFS(コスト表!D:D, コスト表!B:B, "マップ", コスト表!G:G, "作業中")</f>
        <v>0</v>
      </c>
      <c r="F9" s="49">
        <f>SUMIFS(コスト表!D:D, コスト表!B:B, "マップ", コスト表!G:G, "未着手")</f>
        <v>0</v>
      </c>
      <c r="G9" s="38">
        <f>ROUNDDOWN(COUNTIFS(コスト表!B:B, "マップ", コスト表!G:G, "完了") / COUNTIF(コスト表!B:B, "マップ") * 100,1)</f>
        <v>100</v>
      </c>
      <c r="I9" s="19" t="s">
        <v>130</v>
      </c>
      <c r="J9" s="18"/>
      <c r="K9" s="18"/>
      <c r="L9" s="18"/>
    </row>
    <row r="10" spans="2:13">
      <c r="B10" s="18" t="s">
        <v>98</v>
      </c>
      <c r="C10" s="19">
        <f>SUMIF(コスト表!B:B, B10, コスト表!D:D)</f>
        <v>27</v>
      </c>
      <c r="D10" s="49">
        <f>SUMIFS(コスト表!D:D, コスト表!B:B, "ウェーブ管理", コスト表!G:G, "完了")</f>
        <v>21</v>
      </c>
      <c r="E10" s="49">
        <f>SUMIFS(コスト表!D:D, コスト表!B:B, "ウェーブ管理", コスト表!G:G, "作業中")</f>
        <v>0</v>
      </c>
      <c r="F10" s="49">
        <f>SUMIFS(コスト表!D:D, コスト表!B:B, "ウェーブ管理", コスト表!G:G, "未着手")</f>
        <v>6</v>
      </c>
      <c r="G10" s="38">
        <f>ROUNDDOWN(COUNTIFS(コスト表!B:B, "ウェーブ管理", コスト表!G:G, "完了") / COUNTIF(コスト表!B:B, "ウェーブ管理") * 100,1)</f>
        <v>87.5</v>
      </c>
      <c r="I10" s="41" t="s">
        <v>126</v>
      </c>
      <c r="J10" s="41">
        <f>SUMIF(コスト表!F:F, "プロト", コスト表!D:D)</f>
        <v>0</v>
      </c>
      <c r="K10" s="41">
        <f>SUMIFS(コスト表!D:D, コスト表!F:F, "プロト", コスト表!G:G, "完了")</f>
        <v>0</v>
      </c>
      <c r="L10" s="41" t="e">
        <f>ROUNDDOWN(COUNTIFS(コスト表!F:F, "プロト", コスト表!G:G, "完了") / COUNTIF(コスト表!F:F, "プロト") * 100,1)</f>
        <v>#DIV/0!</v>
      </c>
    </row>
    <row r="11" spans="2:13">
      <c r="B11" s="18" t="s">
        <v>36</v>
      </c>
      <c r="C11" s="19">
        <f>SUMIF(コスト表!B:B, B11, コスト表!D:D)</f>
        <v>8.5</v>
      </c>
      <c r="D11" s="49">
        <f>SUMIFS(コスト表!D:D, コスト表!B:B, "アイテム", コスト表!G:G, "完了")</f>
        <v>8.5</v>
      </c>
      <c r="E11" s="49">
        <f>SUMIFS(コスト表!D:D, コスト表!B:B, "アイテム", コスト表!G:G, "作業中")</f>
        <v>0</v>
      </c>
      <c r="F11" s="49">
        <f>SUMIFS(コスト表!D:D, コスト表!B:B, "アイテム", コスト表!G:G, "未着手")</f>
        <v>0</v>
      </c>
      <c r="G11" s="38">
        <f>ROUNDDOWN(COUNTIFS(コスト表!B:B, "アイテム", コスト表!G:G, "完了") / COUNTIF(コスト表!B:B, "アイテム") * 100,1)</f>
        <v>100</v>
      </c>
      <c r="I11" s="41" t="s">
        <v>127</v>
      </c>
      <c r="J11" s="41">
        <f>SUMIF(コスト表!F:F, "アルファ", コスト表!D:D)</f>
        <v>0</v>
      </c>
      <c r="K11" s="41">
        <f>SUMIFS(コスト表!D:D, コスト表!F:F, "アルファ", コスト表!G:G, "完了")</f>
        <v>0</v>
      </c>
      <c r="L11" s="41" t="e">
        <f>ROUNDDOWN(COUNTIFS(コスト表!F:F, "アルファ", コスト表!G:G, "完了") / COUNTIF(コスト表!F:F, "アルファ") * 100,1)</f>
        <v>#DIV/0!</v>
      </c>
    </row>
    <row r="12" spans="2:13">
      <c r="B12" s="18" t="s">
        <v>38</v>
      </c>
      <c r="C12" s="19">
        <f>SUMIF(コスト表!B:B, B12, コスト表!D:D)</f>
        <v>4</v>
      </c>
      <c r="D12" s="49">
        <f>SUMIFS(コスト表!D:D, コスト表!B:B, "タイトル", コスト表!G:G, "完了")</f>
        <v>4</v>
      </c>
      <c r="E12" s="49">
        <f>SUMIFS(コスト表!D:D, コスト表!B:B, "タイトル", コスト表!G:G, "作業中")</f>
        <v>0</v>
      </c>
      <c r="F12" s="49">
        <f>SUMIFS(コスト表!D:D, コスト表!B:B, "タイトル", コスト表!G:G, "未着手")</f>
        <v>0</v>
      </c>
      <c r="G12" s="38">
        <f>ROUNDDOWN(COUNTIFS(コスト表!B:B, "タイトル", コスト表!G:G, "完了") / COUNTIF(コスト表!B:B, "タイトル") * 100,1)</f>
        <v>100</v>
      </c>
      <c r="I12" s="41" t="s">
        <v>128</v>
      </c>
      <c r="J12" s="41">
        <f>SUMIF(コスト表!F:F, "ベータ", コスト表!D:D)</f>
        <v>0</v>
      </c>
      <c r="K12" s="41">
        <f>SUMIFS(コスト表!D:D, コスト表!F:F, "ベータ", コスト表!G:G, "完了")</f>
        <v>0</v>
      </c>
      <c r="L12" s="41" t="e">
        <f>ROUNDDOWN(COUNTIFS(コスト表!F:F, "ベータ", コスト表!G:G, "完了") / COUNTIF(コスト表!F:F, "ベータ") * 100,1)</f>
        <v>#DIV/0!</v>
      </c>
    </row>
    <row r="13" spans="2:13">
      <c r="B13" s="18" t="s">
        <v>103</v>
      </c>
      <c r="C13" s="19">
        <f>SUMIF(コスト表!B:B, B13, コスト表!D:D)</f>
        <v>4</v>
      </c>
      <c r="D13" s="49">
        <f>SUMIFS(コスト表!D:D, コスト表!B:B, "リザルト", コスト表!G:G, "完了")</f>
        <v>3</v>
      </c>
      <c r="E13" s="49">
        <f>SUMIFS(コスト表!D:D, コスト表!B:B, "リザルト", コスト表!G:G, "作業中")</f>
        <v>0</v>
      </c>
      <c r="F13" s="49">
        <f>SUMIFS(コスト表!D:D, コスト表!B:B, "リザルト", コスト表!G:G, "未着手")</f>
        <v>1</v>
      </c>
      <c r="G13" s="38">
        <f>ROUNDDOWN(COUNTIFS(コスト表!B:B, "リザルト", コスト表!G:G, "完了") / COUNTIF(コスト表!B:B, "リザルト") * 100,1)</f>
        <v>80</v>
      </c>
      <c r="J13" s="44"/>
      <c r="K13" s="42"/>
      <c r="L13" s="27"/>
    </row>
    <row r="14" spans="2:13">
      <c r="B14" s="18" t="s">
        <v>42</v>
      </c>
      <c r="C14" s="19">
        <f>SUMIF(コスト表!B:B, B14, コスト表!D:D)</f>
        <v>6.5</v>
      </c>
      <c r="D14" s="49">
        <f>SUMIFS(コスト表!D:D, コスト表!B:B, "オプション", コスト表!G:G, "完了")</f>
        <v>0</v>
      </c>
      <c r="E14" s="49">
        <f>SUMIFS(コスト表!D:D, コスト表!B:B, "オプション", コスト表!G:G, "作業中")</f>
        <v>0</v>
      </c>
      <c r="F14" s="49">
        <f>SUMIFS(コスト表!D:D,コスト表!B:B,"オプション",コスト表!G:G,"未着手")</f>
        <v>6.5</v>
      </c>
      <c r="G14" s="38">
        <f>ROUNDDOWN(COUNTIFS(コスト表!B:B, "オプション", コスト表!G:G, "完了") / COUNTIF(コスト表!B:B, "オプション") * 100,1)</f>
        <v>0</v>
      </c>
    </row>
    <row r="15" spans="2:13">
      <c r="B15" s="39" t="s">
        <v>119</v>
      </c>
      <c r="C15" s="56">
        <f>SUMIF(コスト表!B:B, B15, コスト表!D:D)</f>
        <v>3</v>
      </c>
      <c r="D15" s="56">
        <f>SUMIFS(コスト表!D:D, コスト表!B:B, "ゲームオーバー", コスト表!G:G, "完了")</f>
        <v>3</v>
      </c>
      <c r="E15" s="56">
        <f>SUMIFS(コスト表!D:D, コスト表!B:B, "ゲームオーバー", コスト表!G:G, "作業中")</f>
        <v>0</v>
      </c>
      <c r="F15" s="56">
        <f>SUMIFS(コスト表!D:D, コスト表!B:B, "ゲームオーバー", コスト表!G:G, "未着手")</f>
        <v>0</v>
      </c>
      <c r="G15" s="41">
        <f>ROUNDDOWN(COUNTIFS(コスト表!B:B, "ゲームオーバー", コスト表!G:G, "完了") / COUNTIF(コスト表!B:B, "ゲームオーバー") * 100,1)</f>
        <v>100</v>
      </c>
    </row>
    <row r="16" spans="2:13">
      <c r="B16" s="39" t="s">
        <v>48</v>
      </c>
      <c r="C16" s="9"/>
      <c r="D16" s="9"/>
      <c r="E16" s="9"/>
      <c r="F16" s="9"/>
      <c r="G16" s="38">
        <f>ROUNDDOWN(COUNTIF(コスト表!G:G, "完了") / COUNTA(コスト表!G:G) * 100,1)</f>
        <v>77.599999999999994</v>
      </c>
    </row>
    <row r="19" spans="3:7">
      <c r="C19" s="7"/>
      <c r="D19" s="7"/>
      <c r="E19" s="7"/>
      <c r="F19" s="7"/>
      <c r="G19" s="36"/>
    </row>
    <row r="20" spans="3:7">
      <c r="C20" s="7"/>
      <c r="D20" s="7"/>
      <c r="E20" s="7"/>
      <c r="F20" s="7"/>
      <c r="G20" s="36"/>
    </row>
    <row r="21" spans="3:7">
      <c r="G21" s="36"/>
    </row>
    <row r="22" spans="3:7">
      <c r="G22" s="36"/>
    </row>
    <row r="24" spans="3:7">
      <c r="G24" s="34"/>
    </row>
    <row r="25" spans="3:7">
      <c r="G25" s="34"/>
    </row>
    <row r="26" spans="3:7">
      <c r="G26" s="34"/>
    </row>
    <row r="27" spans="3:7">
      <c r="G27" s="34"/>
    </row>
  </sheetData>
  <phoneticPr fontId="1"/>
  <pageMargins left="0.75" right="0.75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68E3-33E5-43E7-9EF1-2BA63334710F}">
  <dimension ref="B2:F12"/>
  <sheetViews>
    <sheetView workbookViewId="0">
      <selection activeCell="F9" sqref="F9"/>
    </sheetView>
  </sheetViews>
  <sheetFormatPr defaultRowHeight="18.75"/>
  <cols>
    <col min="2" max="2" width="33" bestFit="1" customWidth="1"/>
    <col min="3" max="3" width="10.375" customWidth="1"/>
  </cols>
  <sheetData>
    <row r="2" spans="2:6">
      <c r="B2" s="33" t="s">
        <v>14</v>
      </c>
      <c r="D2" s="33" t="s">
        <v>4</v>
      </c>
      <c r="F2" s="33" t="s">
        <v>3</v>
      </c>
    </row>
    <row r="3" spans="2:6">
      <c r="B3" s="20" t="s">
        <v>9</v>
      </c>
      <c r="D3" s="20" t="s">
        <v>130</v>
      </c>
      <c r="F3" s="20" t="s">
        <v>8</v>
      </c>
    </row>
    <row r="4" spans="2:6">
      <c r="B4" s="5" t="s">
        <v>11</v>
      </c>
      <c r="D4" s="20" t="s">
        <v>126</v>
      </c>
      <c r="F4" s="20" t="s">
        <v>13</v>
      </c>
    </row>
    <row r="5" spans="2:6">
      <c r="B5" s="5" t="s">
        <v>12</v>
      </c>
      <c r="D5" s="20" t="s">
        <v>127</v>
      </c>
      <c r="F5" s="20" t="s">
        <v>10</v>
      </c>
    </row>
    <row r="6" spans="2:6">
      <c r="B6" s="6" t="s">
        <v>51</v>
      </c>
      <c r="D6" s="21" t="s">
        <v>128</v>
      </c>
      <c r="F6" s="21" t="s">
        <v>15</v>
      </c>
    </row>
    <row r="8" spans="2:6">
      <c r="B8" s="55" t="s">
        <v>3</v>
      </c>
    </row>
    <row r="9" spans="2:6">
      <c r="B9" s="53" t="s">
        <v>107</v>
      </c>
    </row>
    <row r="10" spans="2:6">
      <c r="B10" s="53" t="s">
        <v>108</v>
      </c>
    </row>
    <row r="11" spans="2:6">
      <c r="B11" s="53" t="s">
        <v>109</v>
      </c>
    </row>
    <row r="12" spans="2:6">
      <c r="B12" s="54" t="s">
        <v>110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36AD0B55474E4CAD520F1DEB8FB579" ma:contentTypeVersion="3" ma:contentTypeDescription="新しいドキュメントを作成します。" ma:contentTypeScope="" ma:versionID="078ba6c1f7b5b638bb57eb024ae572f7">
  <xsd:schema xmlns:xsd="http://www.w3.org/2001/XMLSchema" xmlns:xs="http://www.w3.org/2001/XMLSchema" xmlns:p="http://schemas.microsoft.com/office/2006/metadata/properties" xmlns:ns2="187a6309-4c0c-49e3-bd2d-e8130eb88270" targetNamespace="http://schemas.microsoft.com/office/2006/metadata/properties" ma:root="true" ma:fieldsID="c5f182963113af090d1b42042cf04cb6" ns2:_="">
    <xsd:import namespace="187a6309-4c0c-49e3-bd2d-e8130eb882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7a6309-4c0c-49e3-bd2d-e8130eb882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0DB335-AD01-472D-90D0-5B4B126AC49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90E09EE-5F6D-4AB8-AE54-C74368FE6F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1D85CE-B20E-4841-A55B-779E85453E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7a6309-4c0c-49e3-bd2d-e8130eb882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コスト表</vt:lpstr>
      <vt:lpstr>集計</vt:lpstr>
      <vt:lpstr>プルダウン用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中川　怜皇</dc:creator>
  <cp:keywords/>
  <dc:description/>
  <cp:lastModifiedBy>瑛人 由留部</cp:lastModifiedBy>
  <cp:revision/>
  <dcterms:created xsi:type="dcterms:W3CDTF">2025-05-14T08:12:28Z</dcterms:created>
  <dcterms:modified xsi:type="dcterms:W3CDTF">2026-02-03T01:25:24Z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0x0101006836AD0B55474E4CAD520F1DEB8FB579</vt:lpwstr>
  </property>
</Properties>
</file>